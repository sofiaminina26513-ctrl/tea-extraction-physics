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f65e9f5ecf4512e0/Desktop/ЧАААЙ!!!/"/>
    </mc:Choice>
  </mc:AlternateContent>
  <xr:revisionPtr revIDLastSave="1" documentId="11_70A6F21A509173CFC0E29301F694562EAF54B17D" xr6:coauthVersionLast="47" xr6:coauthVersionMax="47" xr10:uidLastSave="{6B5C2D01-56BC-42C5-B7EC-A3D3138EBD73}"/>
  <bookViews>
    <workbookView xWindow="-120" yWindow="-120" windowWidth="29040" windowHeight="15720" firstSheet="1" activeTab="9" xr2:uid="{00000000-000D-0000-FFFF-FFFF00000000}"/>
  </bookViews>
  <sheets>
    <sheet name="Принцесса Нури" sheetId="1" r:id="rId1"/>
    <sheet name="Kenika" sheetId="2" r:id="rId2"/>
    <sheet name="Greetings" sheetId="3" r:id="rId3"/>
    <sheet name="Curtis" sheetId="4" r:id="rId4"/>
    <sheet name="Greenfield" sheetId="5" r:id="rId5"/>
    <sheet name="Richard" sheetId="6" r:id="rId6"/>
    <sheet name="Tess" sheetId="7" r:id="rId7"/>
    <sheet name="Предел чувствительности" sheetId="8" r:id="rId8"/>
    <sheet name="Результаты группировки" sheetId="9" r:id="rId9"/>
    <sheet name="Итоги с погрешностями" sheetId="10" r:id="rId10"/>
  </sheets>
  <definedNames>
    <definedName name="_xlnm._FilterDatabase" localSheetId="7" hidden="1">'Предел чувствительности'!$A$1:$E$31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8" l="1"/>
  <c r="E7" i="8" s="1"/>
  <c r="D6" i="8"/>
  <c r="E6" i="8" s="1"/>
  <c r="D26" i="8"/>
  <c r="E26" i="8" s="1"/>
  <c r="D20" i="8"/>
  <c r="E20" i="8" s="1"/>
  <c r="D5" i="8"/>
  <c r="E5" i="8" s="1"/>
  <c r="D16" i="8"/>
  <c r="E16" i="8" s="1"/>
  <c r="D10" i="8"/>
  <c r="E10" i="8" s="1"/>
  <c r="E12" i="8"/>
  <c r="D12" i="8"/>
  <c r="D23" i="8"/>
  <c r="E23" i="8" s="1"/>
  <c r="D21" i="8"/>
  <c r="E21" i="8" s="1"/>
  <c r="D3" i="8"/>
  <c r="E3" i="8" s="1"/>
  <c r="D28" i="8"/>
  <c r="E28" i="8" s="1"/>
  <c r="D27" i="8"/>
  <c r="E27" i="8" s="1"/>
  <c r="D2" i="8"/>
  <c r="E2" i="8" s="1"/>
  <c r="D18" i="8"/>
  <c r="E18" i="8" s="1"/>
  <c r="E11" i="8"/>
  <c r="D11" i="8"/>
  <c r="D8" i="8"/>
  <c r="E8" i="8" s="1"/>
  <c r="E14" i="8"/>
  <c r="D14" i="8"/>
  <c r="D9" i="8"/>
  <c r="E9" i="8" s="1"/>
  <c r="E25" i="8"/>
  <c r="D25" i="8"/>
  <c r="D17" i="8"/>
  <c r="E17" i="8" s="1"/>
  <c r="D4" i="8"/>
  <c r="E4" i="8" s="1"/>
  <c r="D30" i="8"/>
  <c r="E30" i="8" s="1"/>
  <c r="D15" i="8"/>
  <c r="E15" i="8" s="1"/>
  <c r="D13" i="8"/>
  <c r="E13" i="8" s="1"/>
  <c r="D24" i="8"/>
  <c r="E24" i="8" s="1"/>
  <c r="D22" i="8"/>
  <c r="E22" i="8" s="1"/>
  <c r="D29" i="8"/>
  <c r="E29" i="8" s="1"/>
  <c r="D31" i="8"/>
  <c r="E31" i="8" s="1"/>
  <c r="D19" i="8"/>
  <c r="E19" i="8" s="1"/>
  <c r="E14" i="7"/>
  <c r="C14" i="7"/>
  <c r="D14" i="7" s="1"/>
  <c r="E13" i="7"/>
  <c r="C13" i="7"/>
  <c r="D13" i="7" s="1"/>
  <c r="E12" i="7"/>
  <c r="C12" i="7"/>
  <c r="D12" i="7" s="1"/>
  <c r="G11" i="7"/>
  <c r="F11" i="7"/>
  <c r="E11" i="7"/>
  <c r="D11" i="7"/>
  <c r="C11" i="7"/>
  <c r="E10" i="7"/>
  <c r="C10" i="7"/>
  <c r="D10" i="7" s="1"/>
  <c r="F10" i="7" s="1"/>
  <c r="E9" i="7"/>
  <c r="C9" i="7"/>
  <c r="D9" i="7" s="1"/>
  <c r="E8" i="7"/>
  <c r="C8" i="7"/>
  <c r="D8" i="7" s="1"/>
  <c r="F8" i="7" s="1"/>
  <c r="E7" i="7"/>
  <c r="G7" i="7" s="1"/>
  <c r="D7" i="7"/>
  <c r="F7" i="7" s="1"/>
  <c r="C7" i="7"/>
  <c r="E6" i="7"/>
  <c r="C6" i="7"/>
  <c r="D6" i="7" s="1"/>
  <c r="F6" i="7" s="1"/>
  <c r="E5" i="7"/>
  <c r="G5" i="7" s="1"/>
  <c r="D5" i="7"/>
  <c r="F5" i="7" s="1"/>
  <c r="C5" i="7"/>
  <c r="E4" i="7"/>
  <c r="C4" i="7"/>
  <c r="D4" i="7" s="1"/>
  <c r="E3" i="7"/>
  <c r="G3" i="7" s="1"/>
  <c r="D3" i="7"/>
  <c r="F3" i="7" s="1"/>
  <c r="C3" i="7"/>
  <c r="E2" i="7"/>
  <c r="C2" i="7"/>
  <c r="D2" i="7" s="1"/>
  <c r="F2" i="7" s="1"/>
  <c r="E14" i="6"/>
  <c r="C14" i="6"/>
  <c r="D14" i="6" s="1"/>
  <c r="E13" i="6"/>
  <c r="C13" i="6"/>
  <c r="D13" i="6" s="1"/>
  <c r="E12" i="6"/>
  <c r="C12" i="6"/>
  <c r="D12" i="6" s="1"/>
  <c r="F12" i="6" s="1"/>
  <c r="E11" i="6"/>
  <c r="C11" i="6"/>
  <c r="D11" i="6" s="1"/>
  <c r="E10" i="6"/>
  <c r="C10" i="6"/>
  <c r="D10" i="6" s="1"/>
  <c r="E9" i="6"/>
  <c r="C9" i="6"/>
  <c r="D9" i="6" s="1"/>
  <c r="G8" i="6"/>
  <c r="F8" i="6"/>
  <c r="E8" i="6"/>
  <c r="D8" i="6"/>
  <c r="C8" i="6"/>
  <c r="E7" i="6"/>
  <c r="C7" i="6"/>
  <c r="D7" i="6" s="1"/>
  <c r="F7" i="6" s="1"/>
  <c r="E6" i="6"/>
  <c r="C6" i="6"/>
  <c r="D6" i="6" s="1"/>
  <c r="E5" i="6"/>
  <c r="C5" i="6"/>
  <c r="D5" i="6" s="1"/>
  <c r="F5" i="6" s="1"/>
  <c r="E4" i="6"/>
  <c r="G4" i="6" s="1"/>
  <c r="D4" i="6"/>
  <c r="F4" i="6" s="1"/>
  <c r="C4" i="6"/>
  <c r="E3" i="6"/>
  <c r="C3" i="6"/>
  <c r="D3" i="6" s="1"/>
  <c r="F3" i="6" s="1"/>
  <c r="E2" i="6"/>
  <c r="G2" i="6" s="1"/>
  <c r="D2" i="6"/>
  <c r="F2" i="6" s="1"/>
  <c r="C2" i="6"/>
  <c r="E14" i="5"/>
  <c r="C14" i="5"/>
  <c r="D14" i="5" s="1"/>
  <c r="E13" i="5"/>
  <c r="G13" i="5" s="1"/>
  <c r="D13" i="5"/>
  <c r="F13" i="5" s="1"/>
  <c r="C13" i="5"/>
  <c r="E12" i="5"/>
  <c r="C12" i="5"/>
  <c r="D12" i="5" s="1"/>
  <c r="F12" i="5" s="1"/>
  <c r="E11" i="5"/>
  <c r="C11" i="5"/>
  <c r="D11" i="5" s="1"/>
  <c r="F11" i="5" s="1"/>
  <c r="E10" i="5"/>
  <c r="C10" i="5"/>
  <c r="D10" i="5" s="1"/>
  <c r="E9" i="5"/>
  <c r="C9" i="5"/>
  <c r="D9" i="5" s="1"/>
  <c r="F9" i="5" s="1"/>
  <c r="E8" i="5"/>
  <c r="C8" i="5"/>
  <c r="D8" i="5" s="1"/>
  <c r="E7" i="5"/>
  <c r="C7" i="5"/>
  <c r="D7" i="5" s="1"/>
  <c r="E6" i="5"/>
  <c r="C6" i="5"/>
  <c r="D6" i="5" s="1"/>
  <c r="G5" i="5"/>
  <c r="F5" i="5"/>
  <c r="E5" i="5"/>
  <c r="D5" i="5"/>
  <c r="C5" i="5"/>
  <c r="E4" i="5"/>
  <c r="C4" i="5"/>
  <c r="D4" i="5" s="1"/>
  <c r="F4" i="5" s="1"/>
  <c r="E3" i="5"/>
  <c r="C3" i="5"/>
  <c r="D3" i="5" s="1"/>
  <c r="E2" i="5"/>
  <c r="C2" i="5"/>
  <c r="D2" i="5" s="1"/>
  <c r="F2" i="5" s="1"/>
  <c r="E14" i="4"/>
  <c r="G14" i="4" s="1"/>
  <c r="D14" i="4"/>
  <c r="F14" i="4" s="1"/>
  <c r="C14" i="4"/>
  <c r="E13" i="4"/>
  <c r="C13" i="4"/>
  <c r="D13" i="4" s="1"/>
  <c r="F13" i="4" s="1"/>
  <c r="E12" i="4"/>
  <c r="G12" i="4" s="1"/>
  <c r="D12" i="4"/>
  <c r="F12" i="4" s="1"/>
  <c r="C12" i="4"/>
  <c r="E11" i="4"/>
  <c r="C11" i="4"/>
  <c r="D11" i="4" s="1"/>
  <c r="E10" i="4"/>
  <c r="G10" i="4" s="1"/>
  <c r="D10" i="4"/>
  <c r="F10" i="4" s="1"/>
  <c r="C10" i="4"/>
  <c r="E9" i="4"/>
  <c r="C9" i="4"/>
  <c r="D9" i="4" s="1"/>
  <c r="F9" i="4" s="1"/>
  <c r="E8" i="4"/>
  <c r="C8" i="4"/>
  <c r="D8" i="4" s="1"/>
  <c r="F8" i="4" s="1"/>
  <c r="E7" i="4"/>
  <c r="C7" i="4"/>
  <c r="D7" i="4" s="1"/>
  <c r="E6" i="4"/>
  <c r="C6" i="4"/>
  <c r="D6" i="4" s="1"/>
  <c r="F6" i="4" s="1"/>
  <c r="E5" i="4"/>
  <c r="C5" i="4"/>
  <c r="D5" i="4" s="1"/>
  <c r="E4" i="4"/>
  <c r="C4" i="4"/>
  <c r="D4" i="4" s="1"/>
  <c r="E3" i="4"/>
  <c r="C3" i="4"/>
  <c r="D3" i="4" s="1"/>
  <c r="G2" i="4"/>
  <c r="F2" i="4"/>
  <c r="E2" i="4"/>
  <c r="D2" i="4"/>
  <c r="C2" i="4"/>
  <c r="E14" i="3"/>
  <c r="C14" i="3"/>
  <c r="D14" i="3" s="1"/>
  <c r="F14" i="3" s="1"/>
  <c r="E13" i="3"/>
  <c r="C13" i="3"/>
  <c r="D13" i="3" s="1"/>
  <c r="E12" i="3"/>
  <c r="C12" i="3"/>
  <c r="D12" i="3" s="1"/>
  <c r="F12" i="3" s="1"/>
  <c r="E11" i="3"/>
  <c r="G11" i="3" s="1"/>
  <c r="D11" i="3"/>
  <c r="F11" i="3" s="1"/>
  <c r="C11" i="3"/>
  <c r="E10" i="3"/>
  <c r="C10" i="3"/>
  <c r="D10" i="3" s="1"/>
  <c r="F10" i="3" s="1"/>
  <c r="E9" i="3"/>
  <c r="G9" i="3" s="1"/>
  <c r="D9" i="3"/>
  <c r="F9" i="3" s="1"/>
  <c r="C9" i="3"/>
  <c r="E8" i="3"/>
  <c r="C8" i="3"/>
  <c r="D8" i="3" s="1"/>
  <c r="E7" i="3"/>
  <c r="G7" i="3" s="1"/>
  <c r="D7" i="3"/>
  <c r="F7" i="3" s="1"/>
  <c r="C7" i="3"/>
  <c r="E6" i="3"/>
  <c r="C6" i="3"/>
  <c r="D6" i="3" s="1"/>
  <c r="F6" i="3" s="1"/>
  <c r="E5" i="3"/>
  <c r="G5" i="3" s="1"/>
  <c r="C5" i="3"/>
  <c r="D5" i="3" s="1"/>
  <c r="F5" i="3" s="1"/>
  <c r="E4" i="3"/>
  <c r="C4" i="3"/>
  <c r="D4" i="3" s="1"/>
  <c r="E3" i="3"/>
  <c r="C3" i="3"/>
  <c r="D3" i="3" s="1"/>
  <c r="F3" i="3" s="1"/>
  <c r="E2" i="3"/>
  <c r="C2" i="3"/>
  <c r="D2" i="3" s="1"/>
  <c r="E14" i="2"/>
  <c r="C14" i="2"/>
  <c r="D14" i="2" s="1"/>
  <c r="E13" i="2"/>
  <c r="C13" i="2"/>
  <c r="D13" i="2" s="1"/>
  <c r="G12" i="2"/>
  <c r="F12" i="2"/>
  <c r="E12" i="2"/>
  <c r="D12" i="2"/>
  <c r="C12" i="2"/>
  <c r="E11" i="2"/>
  <c r="C11" i="2"/>
  <c r="D11" i="2" s="1"/>
  <c r="F11" i="2" s="1"/>
  <c r="E10" i="2"/>
  <c r="C10" i="2"/>
  <c r="D10" i="2" s="1"/>
  <c r="E9" i="2"/>
  <c r="C9" i="2"/>
  <c r="D9" i="2" s="1"/>
  <c r="F9" i="2" s="1"/>
  <c r="E8" i="2"/>
  <c r="G8" i="2" s="1"/>
  <c r="D8" i="2"/>
  <c r="F8" i="2" s="1"/>
  <c r="C8" i="2"/>
  <c r="E7" i="2"/>
  <c r="C7" i="2"/>
  <c r="D7" i="2" s="1"/>
  <c r="F7" i="2" s="1"/>
  <c r="E6" i="2"/>
  <c r="G6" i="2" s="1"/>
  <c r="D6" i="2"/>
  <c r="F6" i="2" s="1"/>
  <c r="C6" i="2"/>
  <c r="E5" i="2"/>
  <c r="C5" i="2"/>
  <c r="D5" i="2" s="1"/>
  <c r="E4" i="2"/>
  <c r="G4" i="2" s="1"/>
  <c r="D4" i="2"/>
  <c r="F4" i="2" s="1"/>
  <c r="C4" i="2"/>
  <c r="E3" i="2"/>
  <c r="C3" i="2"/>
  <c r="D3" i="2" s="1"/>
  <c r="F3" i="2" s="1"/>
  <c r="E2" i="2"/>
  <c r="G2" i="2" s="1"/>
  <c r="C2" i="2"/>
  <c r="D2" i="2" s="1"/>
  <c r="F2" i="2" s="1"/>
  <c r="E14" i="1"/>
  <c r="C14" i="1"/>
  <c r="D14" i="1" s="1"/>
  <c r="E13" i="1"/>
  <c r="C13" i="1"/>
  <c r="D13" i="1" s="1"/>
  <c r="F13" i="1" s="1"/>
  <c r="E12" i="1"/>
  <c r="C12" i="1"/>
  <c r="D12" i="1" s="1"/>
  <c r="E11" i="1"/>
  <c r="C11" i="1"/>
  <c r="D11" i="1" s="1"/>
  <c r="E10" i="1"/>
  <c r="C10" i="1"/>
  <c r="D10" i="1" s="1"/>
  <c r="G9" i="1"/>
  <c r="F9" i="1"/>
  <c r="E9" i="1"/>
  <c r="D9" i="1"/>
  <c r="C9" i="1"/>
  <c r="E8" i="1"/>
  <c r="C8" i="1"/>
  <c r="D8" i="1" s="1"/>
  <c r="F8" i="1" s="1"/>
  <c r="E7" i="1"/>
  <c r="C7" i="1"/>
  <c r="D7" i="1" s="1"/>
  <c r="E6" i="1"/>
  <c r="C6" i="1"/>
  <c r="D6" i="1" s="1"/>
  <c r="F6" i="1" s="1"/>
  <c r="E5" i="1"/>
  <c r="G5" i="1" s="1"/>
  <c r="D5" i="1"/>
  <c r="F5" i="1" s="1"/>
  <c r="C5" i="1"/>
  <c r="E4" i="1"/>
  <c r="G4" i="1" s="1"/>
  <c r="C4" i="1"/>
  <c r="D4" i="1" s="1"/>
  <c r="F4" i="1" s="1"/>
  <c r="E3" i="1"/>
  <c r="G3" i="1" s="1"/>
  <c r="D3" i="1"/>
  <c r="F3" i="1" s="1"/>
  <c r="C3" i="1"/>
  <c r="E2" i="1"/>
  <c r="C2" i="1"/>
  <c r="D2" i="1" s="1"/>
  <c r="G8" i="5" l="1"/>
  <c r="F8" i="5"/>
  <c r="G7" i="6"/>
  <c r="G6" i="4"/>
  <c r="G13" i="2"/>
  <c r="F13" i="2"/>
  <c r="F7" i="1"/>
  <c r="G7" i="1"/>
  <c r="G8" i="4"/>
  <c r="F14" i="1"/>
  <c r="G14" i="1"/>
  <c r="G9" i="6"/>
  <c r="F9" i="6"/>
  <c r="F3" i="5"/>
  <c r="G3" i="5"/>
  <c r="G8" i="1"/>
  <c r="F2" i="3"/>
  <c r="G2" i="3"/>
  <c r="F10" i="5"/>
  <c r="G10" i="5"/>
  <c r="G10" i="6"/>
  <c r="F10" i="6"/>
  <c r="G14" i="6"/>
  <c r="F14" i="6"/>
  <c r="G13" i="4"/>
  <c r="G12" i="1"/>
  <c r="F12" i="1"/>
  <c r="G6" i="1"/>
  <c r="G2" i="1"/>
  <c r="F2" i="1"/>
  <c r="G5" i="2"/>
  <c r="F5" i="2"/>
  <c r="G11" i="1"/>
  <c r="F11" i="1"/>
  <c r="G14" i="7"/>
  <c r="F14" i="7"/>
  <c r="G13" i="3"/>
  <c r="F13" i="3"/>
  <c r="G2" i="7"/>
  <c r="G8" i="3"/>
  <c r="F8" i="3"/>
  <c r="F14" i="2"/>
  <c r="G14" i="2"/>
  <c r="G3" i="6"/>
  <c r="G3" i="4"/>
  <c r="F3" i="4"/>
  <c r="G8" i="7"/>
  <c r="G10" i="7"/>
  <c r="G9" i="5"/>
  <c r="G10" i="2"/>
  <c r="F10" i="2"/>
  <c r="G10" i="3"/>
  <c r="F4" i="3"/>
  <c r="G4" i="3"/>
  <c r="G4" i="4"/>
  <c r="F4" i="4"/>
  <c r="G5" i="6"/>
  <c r="G12" i="7"/>
  <c r="F12" i="7"/>
  <c r="G12" i="3"/>
  <c r="G14" i="5"/>
  <c r="F14" i="5"/>
  <c r="G7" i="5"/>
  <c r="F7" i="5"/>
  <c r="G14" i="3"/>
  <c r="G7" i="2"/>
  <c r="G9" i="4"/>
  <c r="G9" i="2"/>
  <c r="G3" i="3"/>
  <c r="G12" i="5"/>
  <c r="F6" i="6"/>
  <c r="G6" i="6"/>
  <c r="G12" i="6"/>
  <c r="G6" i="7"/>
  <c r="G6" i="5"/>
  <c r="F6" i="5"/>
  <c r="G6" i="3"/>
  <c r="F7" i="4"/>
  <c r="G7" i="4"/>
  <c r="G9" i="7"/>
  <c r="F9" i="7"/>
  <c r="G13" i="1"/>
  <c r="G2" i="5"/>
  <c r="G4" i="7"/>
  <c r="F4" i="7"/>
  <c r="G4" i="5"/>
  <c r="G11" i="6"/>
  <c r="F11" i="6"/>
  <c r="G3" i="2"/>
  <c r="G11" i="4"/>
  <c r="F11" i="4"/>
  <c r="G11" i="5"/>
  <c r="F10" i="1"/>
  <c r="G10" i="1"/>
  <c r="G11" i="2"/>
  <c r="F5" i="4"/>
  <c r="G5" i="4"/>
  <c r="F13" i="6"/>
  <c r="G13" i="6"/>
  <c r="G13" i="7"/>
  <c r="F13" i="7"/>
</calcChain>
</file>

<file path=xl/sharedStrings.xml><?xml version="1.0" encoding="utf-8"?>
<sst xmlns="http://schemas.openxmlformats.org/spreadsheetml/2006/main" count="82" uniqueCount="32">
  <si>
    <t>n</t>
  </si>
  <si>
    <t>I, мкА</t>
  </si>
  <si>
    <t>a</t>
  </si>
  <si>
    <t>I0, мкА</t>
  </si>
  <si>
    <t>№</t>
  </si>
  <si>
    <t>I0,мкА</t>
  </si>
  <si>
    <t>lna</t>
  </si>
  <si>
    <t>№ столбца</t>
  </si>
  <si>
    <t>Интервал</t>
  </si>
  <si>
    <t>Количество человек</t>
  </si>
  <si>
    <t>от 0.05 до 0.10</t>
  </si>
  <si>
    <t>от 0.10 до 0.15</t>
  </si>
  <si>
    <t>от 0.15 до 0.20</t>
  </si>
  <si>
    <t>от 0.20 до 0.25</t>
  </si>
  <si>
    <t>от 0.25 до 0.30</t>
  </si>
  <si>
    <t>от 0.30 до 0.35</t>
  </si>
  <si>
    <t>Марка чая (Лист)</t>
  </si>
  <si>
    <t>Коэффициент угасания (k)</t>
  </si>
  <si>
    <t>Точность модели (R²)</t>
  </si>
  <si>
    <t>Критическая кружка</t>
  </si>
  <si>
    <t>Максимум заварок</t>
  </si>
  <si>
    <t>Принцесса Нури</t>
  </si>
  <si>
    <t>Kenika</t>
  </si>
  <si>
    <t>Greetings</t>
  </si>
  <si>
    <t>Curtis</t>
  </si>
  <si>
    <t>Greenfield</t>
  </si>
  <si>
    <t>Richard</t>
  </si>
  <si>
    <t>Tess</t>
  </si>
  <si>
    <t xml:space="preserve">c, у.е. </t>
  </si>
  <si>
    <t>delta c, у.е</t>
  </si>
  <si>
    <t>lnc, у.е</t>
  </si>
  <si>
    <t>delta lnc, у.е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</si>
</sst>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Roboto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="150" zoomScaleNormal="150" workbookViewId="0">
      <selection activeCell="G14" sqref="A1:G14"/>
    </sheetView>
  </sheetViews>
  <sheetFormatPr defaultRowHeight="15" x14ac:dyDescent="0.25"/>
  <cols>
    <col min="1" max="1" width="3" bestFit="1" customWidth="1"/>
    <col min="2" max="2" width="6.28515625" bestFit="1" customWidth="1"/>
    <col min="3" max="3" width="5.7109375" bestFit="1" customWidth="1"/>
    <col min="4" max="4" width="6.5703125" bestFit="1" customWidth="1"/>
    <col min="5" max="5" width="10.5703125" bestFit="1" customWidth="1"/>
    <col min="6" max="6" width="7.28515625" bestFit="1" customWidth="1"/>
    <col min="7" max="7" width="12.28515625" bestFit="1" customWidth="1"/>
    <col min="9" max="9" width="7.28515625" bestFit="1" customWidth="1"/>
    <col min="10" max="10" width="4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28</v>
      </c>
      <c r="E1" s="8" t="s">
        <v>29</v>
      </c>
      <c r="F1" s="7" t="s">
        <v>30</v>
      </c>
      <c r="G1" s="7" t="s">
        <v>31</v>
      </c>
    </row>
    <row r="2" spans="1:10" x14ac:dyDescent="0.25">
      <c r="A2" s="7">
        <v>1</v>
      </c>
      <c r="B2" s="7">
        <v>16</v>
      </c>
      <c r="C2" s="9">
        <f t="shared" ref="C2:C14" si="0">B2/182</f>
        <v>8.7912087912087919E-2</v>
      </c>
      <c r="D2" s="9">
        <f t="shared" ref="D2:D14" si="1">-LN(C2)</f>
        <v>2.431417964837014</v>
      </c>
      <c r="E2" s="9">
        <f t="shared" ref="E2:E14" si="2">1/$J$2+1/B2</f>
        <v>6.7994505494505489E-2</v>
      </c>
      <c r="F2" s="9">
        <f t="shared" ref="F2:F14" si="3">LN(D2)</f>
        <v>0.88847461179245035</v>
      </c>
      <c r="G2" s="9">
        <f t="shared" ref="G2:G14" si="4">E2/D2</f>
        <v>2.796495973865332E-2</v>
      </c>
      <c r="I2" s="1" t="s">
        <v>3</v>
      </c>
      <c r="J2" s="3">
        <v>182</v>
      </c>
    </row>
    <row r="3" spans="1:10" x14ac:dyDescent="0.25">
      <c r="A3" s="7">
        <v>2</v>
      </c>
      <c r="B3" s="7">
        <v>54</v>
      </c>
      <c r="C3" s="9">
        <f t="shared" si="0"/>
        <v>0.2967032967032967</v>
      </c>
      <c r="D3" s="9">
        <f t="shared" si="1"/>
        <v>1.2150226405125211</v>
      </c>
      <c r="E3" s="9">
        <f t="shared" si="2"/>
        <v>2.4013024013024013E-2</v>
      </c>
      <c r="F3" s="9">
        <f t="shared" si="3"/>
        <v>0.19476271078558186</v>
      </c>
      <c r="G3" s="9">
        <f t="shared" si="4"/>
        <v>1.9763437496847659E-2</v>
      </c>
    </row>
    <row r="4" spans="1:10" x14ac:dyDescent="0.25">
      <c r="A4" s="7">
        <v>3</v>
      </c>
      <c r="B4" s="7">
        <v>58</v>
      </c>
      <c r="C4" s="9">
        <f t="shared" si="0"/>
        <v>0.31868131868131866</v>
      </c>
      <c r="D4" s="9">
        <f t="shared" si="1"/>
        <v>1.143563676530376</v>
      </c>
      <c r="E4" s="9">
        <f t="shared" si="2"/>
        <v>2.2735884804850323E-2</v>
      </c>
      <c r="F4" s="9">
        <f t="shared" si="3"/>
        <v>0.13414941857121707</v>
      </c>
      <c r="G4" s="9">
        <f t="shared" si="4"/>
        <v>1.9881608056870104E-2</v>
      </c>
    </row>
    <row r="5" spans="1:10" x14ac:dyDescent="0.25">
      <c r="A5" s="7">
        <v>4</v>
      </c>
      <c r="B5" s="7">
        <v>65</v>
      </c>
      <c r="C5" s="9">
        <f t="shared" si="0"/>
        <v>0.35714285714285715</v>
      </c>
      <c r="D5" s="9">
        <f t="shared" si="1"/>
        <v>1.0296194171811581</v>
      </c>
      <c r="E5" s="9">
        <f t="shared" si="2"/>
        <v>2.0879120879120881E-2</v>
      </c>
      <c r="F5" s="9">
        <f t="shared" si="3"/>
        <v>2.9189236078010765E-2</v>
      </c>
      <c r="G5" s="9">
        <f t="shared" si="4"/>
        <v>2.0278484001673862E-2</v>
      </c>
    </row>
    <row r="6" spans="1:10" x14ac:dyDescent="0.25">
      <c r="A6" s="7">
        <v>5</v>
      </c>
      <c r="B6" s="7">
        <v>73</v>
      </c>
      <c r="C6" s="9">
        <f t="shared" si="0"/>
        <v>0.40109890109890112</v>
      </c>
      <c r="D6" s="9">
        <f t="shared" si="1"/>
        <v>0.91354724592840419</v>
      </c>
      <c r="E6" s="9">
        <f t="shared" si="2"/>
        <v>1.9193135631491796E-2</v>
      </c>
      <c r="F6" s="9">
        <f t="shared" si="3"/>
        <v>-9.0420184820699454E-2</v>
      </c>
      <c r="G6" s="9">
        <f t="shared" si="4"/>
        <v>2.1009461434024164E-2</v>
      </c>
    </row>
    <row r="7" spans="1:10" x14ac:dyDescent="0.25">
      <c r="A7" s="7">
        <v>6</v>
      </c>
      <c r="B7" s="7">
        <v>77</v>
      </c>
      <c r="C7" s="9">
        <f t="shared" si="0"/>
        <v>0.42307692307692307</v>
      </c>
      <c r="D7" s="9">
        <f t="shared" si="1"/>
        <v>0.86020126522311147</v>
      </c>
      <c r="E7" s="9">
        <f t="shared" si="2"/>
        <v>1.8481518481518484E-2</v>
      </c>
      <c r="F7" s="9">
        <f t="shared" si="3"/>
        <v>-0.1505888877859759</v>
      </c>
      <c r="G7" s="9">
        <f t="shared" si="4"/>
        <v>2.1485109623414596E-2</v>
      </c>
    </row>
    <row r="8" spans="1:10" x14ac:dyDescent="0.25">
      <c r="A8" s="7">
        <v>7</v>
      </c>
      <c r="B8" s="7">
        <v>84</v>
      </c>
      <c r="C8" s="9">
        <f t="shared" si="0"/>
        <v>0.46153846153846156</v>
      </c>
      <c r="D8" s="9">
        <f t="shared" si="1"/>
        <v>0.77318988823348167</v>
      </c>
      <c r="E8" s="9">
        <f t="shared" si="2"/>
        <v>1.73992673992674E-2</v>
      </c>
      <c r="F8" s="9">
        <f t="shared" si="3"/>
        <v>-0.2572306095484253</v>
      </c>
      <c r="G8" s="9">
        <f t="shared" si="4"/>
        <v>2.2503226780448155E-2</v>
      </c>
    </row>
    <row r="9" spans="1:10" x14ac:dyDescent="0.25">
      <c r="A9" s="7">
        <v>8</v>
      </c>
      <c r="B9" s="7">
        <v>89</v>
      </c>
      <c r="C9" s="9">
        <f t="shared" si="0"/>
        <v>0.48901098901098899</v>
      </c>
      <c r="D9" s="9">
        <f t="shared" si="1"/>
        <v>0.7153703173446555</v>
      </c>
      <c r="E9" s="9">
        <f t="shared" si="2"/>
        <v>1.6730460550685271E-2</v>
      </c>
      <c r="F9" s="9">
        <f t="shared" si="3"/>
        <v>-0.33495494400953019</v>
      </c>
      <c r="G9" s="9">
        <f t="shared" si="4"/>
        <v>2.3387132713006832E-2</v>
      </c>
    </row>
    <row r="10" spans="1:10" x14ac:dyDescent="0.25">
      <c r="A10" s="7">
        <v>9</v>
      </c>
      <c r="B10" s="7">
        <v>93</v>
      </c>
      <c r="C10" s="9">
        <f t="shared" si="0"/>
        <v>0.51098901098901095</v>
      </c>
      <c r="D10" s="9">
        <f t="shared" si="1"/>
        <v>0.67140719392353954</v>
      </c>
      <c r="E10" s="9">
        <f t="shared" si="2"/>
        <v>1.6247193666548507E-2</v>
      </c>
      <c r="F10" s="9">
        <f t="shared" si="3"/>
        <v>-0.3983794796834485</v>
      </c>
      <c r="G10" s="9">
        <f t="shared" si="4"/>
        <v>2.4198718473068301E-2</v>
      </c>
    </row>
    <row r="11" spans="1:10" x14ac:dyDescent="0.25">
      <c r="A11" s="7">
        <v>10</v>
      </c>
      <c r="B11" s="7">
        <v>98</v>
      </c>
      <c r="C11" s="9">
        <f t="shared" si="0"/>
        <v>0.53846153846153844</v>
      </c>
      <c r="D11" s="9">
        <f t="shared" si="1"/>
        <v>0.61903920840622351</v>
      </c>
      <c r="E11" s="9">
        <f t="shared" si="2"/>
        <v>1.5698587127158554E-2</v>
      </c>
      <c r="F11" s="9">
        <f t="shared" si="3"/>
        <v>-0.47958666677489836</v>
      </c>
      <c r="G11" s="9">
        <f t="shared" si="4"/>
        <v>2.5359600674690848E-2</v>
      </c>
    </row>
    <row r="12" spans="1:10" x14ac:dyDescent="0.25">
      <c r="A12" s="7">
        <v>11</v>
      </c>
      <c r="B12" s="7">
        <v>105</v>
      </c>
      <c r="C12" s="9">
        <f t="shared" si="0"/>
        <v>0.57692307692307687</v>
      </c>
      <c r="D12" s="9">
        <f t="shared" si="1"/>
        <v>0.55004633691927207</v>
      </c>
      <c r="E12" s="9">
        <f t="shared" si="2"/>
        <v>1.501831501831502E-2</v>
      </c>
      <c r="F12" s="9">
        <f t="shared" si="3"/>
        <v>-0.59775275536023242</v>
      </c>
      <c r="G12" s="9">
        <f t="shared" si="4"/>
        <v>2.7303726995857067E-2</v>
      </c>
    </row>
    <row r="13" spans="1:10" x14ac:dyDescent="0.25">
      <c r="A13" s="7">
        <v>12</v>
      </c>
      <c r="B13" s="7">
        <v>112</v>
      </c>
      <c r="C13" s="9">
        <f t="shared" si="0"/>
        <v>0.61538461538461542</v>
      </c>
      <c r="D13" s="9">
        <f t="shared" si="1"/>
        <v>0.48550781578170077</v>
      </c>
      <c r="E13" s="9">
        <f t="shared" si="2"/>
        <v>1.4423076923076924E-2</v>
      </c>
      <c r="F13" s="9">
        <f t="shared" si="3"/>
        <v>-0.7225598929628263</v>
      </c>
      <c r="G13" s="9">
        <f t="shared" si="4"/>
        <v>2.9707198224718141E-2</v>
      </c>
    </row>
    <row r="14" spans="1:10" x14ac:dyDescent="0.25">
      <c r="A14" s="7">
        <v>13</v>
      </c>
      <c r="B14" s="7">
        <v>113</v>
      </c>
      <c r="C14" s="9">
        <f t="shared" si="0"/>
        <v>0.62087912087912089</v>
      </c>
      <c r="D14" s="9">
        <f t="shared" si="1"/>
        <v>0.47661886836445477</v>
      </c>
      <c r="E14" s="9">
        <f t="shared" si="2"/>
        <v>1.4344063016629389E-2</v>
      </c>
      <c r="F14" s="9">
        <f t="shared" si="3"/>
        <v>-0.74103812558277038</v>
      </c>
      <c r="G14" s="9">
        <f t="shared" si="4"/>
        <v>3.0095457751917947E-2</v>
      </c>
    </row>
    <row r="15" spans="1:10" x14ac:dyDescent="0.25">
      <c r="C15" s="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zoomScale="150" zoomScaleNormal="150" workbookViewId="0">
      <selection activeCell="G14" sqref="A1:G14"/>
    </sheetView>
  </sheetViews>
  <sheetFormatPr defaultRowHeight="15" x14ac:dyDescent="0.25"/>
  <cols>
    <col min="1" max="1" width="3" bestFit="1" customWidth="1"/>
    <col min="2" max="2" width="6.28515625" bestFit="1" customWidth="1"/>
    <col min="3" max="3" width="5.7109375" bestFit="1" customWidth="1"/>
    <col min="4" max="4" width="6.5703125" bestFit="1" customWidth="1"/>
    <col min="5" max="5" width="10.5703125" bestFit="1" customWidth="1"/>
    <col min="6" max="6" width="7.28515625" bestFit="1" customWidth="1"/>
    <col min="7" max="7" width="12.28515625" bestFit="1" customWidth="1"/>
    <col min="9" max="9" width="7.28515625" bestFit="1" customWidth="1"/>
    <col min="10" max="10" width="4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28</v>
      </c>
      <c r="E1" s="8" t="s">
        <v>29</v>
      </c>
      <c r="F1" s="7" t="s">
        <v>30</v>
      </c>
      <c r="G1" s="7" t="s">
        <v>31</v>
      </c>
      <c r="H1" s="4"/>
    </row>
    <row r="2" spans="1:10" x14ac:dyDescent="0.25">
      <c r="A2" s="7">
        <v>1</v>
      </c>
      <c r="B2" s="7">
        <v>8</v>
      </c>
      <c r="C2" s="9">
        <f t="shared" ref="C2:C14" si="0">B2/153</f>
        <v>5.2287581699346407E-2</v>
      </c>
      <c r="D2" s="9">
        <f t="shared" ref="D2:D14" si="1">-LN(C2)</f>
        <v>2.9509963797125995</v>
      </c>
      <c r="E2" s="9">
        <f t="shared" ref="E2:E14" si="2">1/$J$2+1/B2</f>
        <v>0.13153594771241831</v>
      </c>
      <c r="F2" s="9">
        <f t="shared" ref="F2:F14" si="3">LN(D2)</f>
        <v>1.0821428691598463</v>
      </c>
      <c r="G2" s="9">
        <f t="shared" ref="G2:G14" si="4">E2/D2</f>
        <v>4.4573401925091051E-2</v>
      </c>
      <c r="H2" s="1"/>
      <c r="I2" s="1" t="s">
        <v>3</v>
      </c>
      <c r="J2" s="3">
        <v>153</v>
      </c>
    </row>
    <row r="3" spans="1:10" x14ac:dyDescent="0.25">
      <c r="A3" s="7">
        <v>2</v>
      </c>
      <c r="B3" s="7">
        <v>44</v>
      </c>
      <c r="C3" s="9">
        <f t="shared" si="0"/>
        <v>0.28758169934640521</v>
      </c>
      <c r="D3" s="9">
        <f t="shared" si="1"/>
        <v>1.2462482874741745</v>
      </c>
      <c r="E3" s="9">
        <f t="shared" si="2"/>
        <v>2.926322043969103E-2</v>
      </c>
      <c r="F3" s="9">
        <f t="shared" si="3"/>
        <v>0.22013766814987723</v>
      </c>
      <c r="G3" s="9">
        <f t="shared" si="4"/>
        <v>2.3481051676307672E-2</v>
      </c>
      <c r="H3" s="1"/>
    </row>
    <row r="4" spans="1:10" x14ac:dyDescent="0.25">
      <c r="A4" s="7">
        <v>3</v>
      </c>
      <c r="B4" s="7">
        <v>47</v>
      </c>
      <c r="C4" s="9">
        <f t="shared" si="0"/>
        <v>0.30718954248366015</v>
      </c>
      <c r="D4" s="9">
        <f t="shared" si="1"/>
        <v>1.1802903196823769</v>
      </c>
      <c r="E4" s="9">
        <f t="shared" si="2"/>
        <v>2.7812543457099152E-2</v>
      </c>
      <c r="F4" s="9">
        <f t="shared" si="3"/>
        <v>0.16576044184539643</v>
      </c>
      <c r="G4" s="9">
        <f t="shared" si="4"/>
        <v>2.3564154507836405E-2</v>
      </c>
      <c r="H4" s="1"/>
    </row>
    <row r="5" spans="1:10" x14ac:dyDescent="0.25">
      <c r="A5" s="7">
        <v>4</v>
      </c>
      <c r="B5" s="7">
        <v>48</v>
      </c>
      <c r="C5" s="9">
        <f t="shared" si="0"/>
        <v>0.31372549019607843</v>
      </c>
      <c r="D5" s="9">
        <f t="shared" si="1"/>
        <v>1.1592369104845446</v>
      </c>
      <c r="E5" s="9">
        <f t="shared" si="2"/>
        <v>2.7369281045751634E-2</v>
      </c>
      <c r="F5" s="9">
        <f t="shared" si="3"/>
        <v>0.14776195286018559</v>
      </c>
      <c r="G5" s="9">
        <f t="shared" si="4"/>
        <v>2.3609739129434433E-2</v>
      </c>
      <c r="H5" s="1"/>
    </row>
    <row r="6" spans="1:10" x14ac:dyDescent="0.25">
      <c r="A6" s="7">
        <v>5</v>
      </c>
      <c r="B6" s="7">
        <v>49</v>
      </c>
      <c r="C6" s="9">
        <f t="shared" si="0"/>
        <v>0.3202614379084967</v>
      </c>
      <c r="D6" s="9">
        <f t="shared" si="1"/>
        <v>1.138617623281809</v>
      </c>
      <c r="E6" s="9">
        <f t="shared" si="2"/>
        <v>2.6944110977724423E-2</v>
      </c>
      <c r="F6" s="9">
        <f t="shared" si="3"/>
        <v>0.1298149154422954</v>
      </c>
      <c r="G6" s="9">
        <f t="shared" si="4"/>
        <v>2.3663880153254688E-2</v>
      </c>
      <c r="H6" s="1"/>
    </row>
    <row r="7" spans="1:10" x14ac:dyDescent="0.25">
      <c r="A7" s="7">
        <v>6</v>
      </c>
      <c r="B7" s="7">
        <v>51</v>
      </c>
      <c r="C7" s="9">
        <f t="shared" si="0"/>
        <v>0.33333333333333331</v>
      </c>
      <c r="D7" s="9">
        <f t="shared" si="1"/>
        <v>1.0986122886681098</v>
      </c>
      <c r="E7" s="9">
        <f t="shared" si="2"/>
        <v>2.6143790849673203E-2</v>
      </c>
      <c r="F7" s="9">
        <f t="shared" si="3"/>
        <v>9.4047827616699095E-2</v>
      </c>
      <c r="G7" s="9">
        <f t="shared" si="4"/>
        <v>2.3797103964100324E-2</v>
      </c>
      <c r="H7" s="1"/>
    </row>
    <row r="8" spans="1:10" x14ac:dyDescent="0.25">
      <c r="A8" s="7">
        <v>7</v>
      </c>
      <c r="B8" s="7">
        <v>52</v>
      </c>
      <c r="C8" s="9">
        <f t="shared" si="0"/>
        <v>0.33986928104575165</v>
      </c>
      <c r="D8" s="9">
        <f t="shared" si="1"/>
        <v>1.079194202811008</v>
      </c>
      <c r="E8" s="9">
        <f t="shared" si="2"/>
        <v>2.5766716943187534E-2</v>
      </c>
      <c r="F8" s="9">
        <f t="shared" si="3"/>
        <v>7.6214654150324385E-2</v>
      </c>
      <c r="G8" s="9">
        <f t="shared" si="4"/>
        <v>2.3875885244817131E-2</v>
      </c>
      <c r="H8" s="1"/>
    </row>
    <row r="9" spans="1:10" x14ac:dyDescent="0.25">
      <c r="A9" s="7">
        <v>8</v>
      </c>
      <c r="B9" s="7">
        <v>55</v>
      </c>
      <c r="C9" s="9">
        <f t="shared" si="0"/>
        <v>0.35947712418300654</v>
      </c>
      <c r="D9" s="9">
        <f t="shared" si="1"/>
        <v>1.0231047361599646</v>
      </c>
      <c r="E9" s="9">
        <f t="shared" si="2"/>
        <v>2.4717765894236483E-2</v>
      </c>
      <c r="F9" s="9">
        <f t="shared" si="3"/>
        <v>2.2841863116912456E-2</v>
      </c>
      <c r="G9" s="9">
        <f t="shared" si="4"/>
        <v>2.4159565507447526E-2</v>
      </c>
      <c r="H9" s="1"/>
    </row>
    <row r="10" spans="1:10" x14ac:dyDescent="0.25">
      <c r="A10" s="7">
        <v>9</v>
      </c>
      <c r="B10" s="7">
        <v>58</v>
      </c>
      <c r="C10" s="9">
        <f t="shared" si="0"/>
        <v>0.37908496732026142</v>
      </c>
      <c r="D10" s="9">
        <f t="shared" si="1"/>
        <v>0.96999491084601619</v>
      </c>
      <c r="E10" s="9">
        <f t="shared" si="2"/>
        <v>2.3777327022763129E-2</v>
      </c>
      <c r="F10" s="9">
        <f t="shared" si="3"/>
        <v>-3.0464454048970514E-2</v>
      </c>
      <c r="G10" s="9">
        <f t="shared" si="4"/>
        <v>2.4512836878726376E-2</v>
      </c>
      <c r="H10" s="1"/>
    </row>
    <row r="11" spans="1:10" x14ac:dyDescent="0.25">
      <c r="A11" s="7">
        <v>10</v>
      </c>
      <c r="B11" s="7">
        <v>60</v>
      </c>
      <c r="C11" s="9">
        <f t="shared" si="0"/>
        <v>0.39215686274509803</v>
      </c>
      <c r="D11" s="9">
        <f t="shared" si="1"/>
        <v>0.93609335917033476</v>
      </c>
      <c r="E11" s="9">
        <f t="shared" si="2"/>
        <v>2.3202614379084968E-2</v>
      </c>
      <c r="F11" s="9">
        <f t="shared" si="3"/>
        <v>-6.6040064775168592E-2</v>
      </c>
      <c r="G11" s="9">
        <f t="shared" si="4"/>
        <v>2.4786645639329807E-2</v>
      </c>
      <c r="H11" s="1"/>
    </row>
    <row r="12" spans="1:10" x14ac:dyDescent="0.25">
      <c r="A12" s="7">
        <v>11</v>
      </c>
      <c r="B12" s="7">
        <v>63</v>
      </c>
      <c r="C12" s="9">
        <f t="shared" si="0"/>
        <v>0.41176470588235292</v>
      </c>
      <c r="D12" s="9">
        <f t="shared" si="1"/>
        <v>0.88730319500090282</v>
      </c>
      <c r="E12" s="9">
        <f t="shared" si="2"/>
        <v>2.2408963585434174E-2</v>
      </c>
      <c r="F12" s="9">
        <f t="shared" si="3"/>
        <v>-0.11956853433485991</v>
      </c>
      <c r="G12" s="9">
        <f t="shared" si="4"/>
        <v>2.5255136814210811E-2</v>
      </c>
      <c r="H12" s="1"/>
    </row>
    <row r="13" spans="1:10" x14ac:dyDescent="0.25">
      <c r="A13" s="7">
        <v>12</v>
      </c>
      <c r="B13" s="7">
        <v>67</v>
      </c>
      <c r="C13" s="9">
        <f t="shared" si="0"/>
        <v>0.43790849673202614</v>
      </c>
      <c r="D13" s="9">
        <f t="shared" si="1"/>
        <v>0.82574530200146945</v>
      </c>
      <c r="E13" s="9">
        <f t="shared" si="2"/>
        <v>2.1461320846746658E-2</v>
      </c>
      <c r="F13" s="9">
        <f t="shared" si="3"/>
        <v>-0.19146890409894002</v>
      </c>
      <c r="G13" s="9">
        <f t="shared" si="4"/>
        <v>2.5990242747646254E-2</v>
      </c>
      <c r="H13" s="1"/>
    </row>
    <row r="14" spans="1:10" x14ac:dyDescent="0.25">
      <c r="A14" s="7">
        <v>13</v>
      </c>
      <c r="B14" s="7">
        <v>73</v>
      </c>
      <c r="C14" s="9">
        <f t="shared" si="0"/>
        <v>0.47712418300653597</v>
      </c>
      <c r="D14" s="9">
        <f t="shared" si="1"/>
        <v>0.73997848024404433</v>
      </c>
      <c r="E14" s="9">
        <f t="shared" si="2"/>
        <v>2.0234577849404602E-2</v>
      </c>
      <c r="F14" s="9">
        <f t="shared" si="3"/>
        <v>-0.3011341739580663</v>
      </c>
      <c r="G14" s="9">
        <f t="shared" si="4"/>
        <v>2.7344819328707037E-2</v>
      </c>
      <c r="H14" s="1"/>
    </row>
    <row r="15" spans="1:10" x14ac:dyDescent="0.25">
      <c r="C15" s="3"/>
      <c r="E15" s="3"/>
    </row>
    <row r="16" spans="1:10" x14ac:dyDescent="0.25">
      <c r="E16" s="2"/>
      <c r="F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zoomScale="150" zoomScaleNormal="150" workbookViewId="0">
      <selection activeCell="G14" sqref="A1:G14"/>
    </sheetView>
  </sheetViews>
  <sheetFormatPr defaultRowHeight="15" x14ac:dyDescent="0.25"/>
  <cols>
    <col min="1" max="1" width="3" bestFit="1" customWidth="1"/>
    <col min="2" max="2" width="6.28515625" bestFit="1" customWidth="1"/>
    <col min="3" max="3" width="5.7109375" bestFit="1" customWidth="1"/>
    <col min="4" max="4" width="6.5703125" bestFit="1" customWidth="1"/>
    <col min="5" max="5" width="10.5703125" bestFit="1" customWidth="1"/>
    <col min="6" max="6" width="7.28515625" bestFit="1" customWidth="1"/>
    <col min="7" max="7" width="12.28515625" bestFit="1" customWidth="1"/>
    <col min="9" max="9" width="7.28515625" bestFit="1" customWidth="1"/>
    <col min="10" max="10" width="4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28</v>
      </c>
      <c r="E1" s="8" t="s">
        <v>29</v>
      </c>
      <c r="F1" s="7" t="s">
        <v>30</v>
      </c>
      <c r="G1" s="7" t="s">
        <v>31</v>
      </c>
      <c r="H1" s="4"/>
    </row>
    <row r="2" spans="1:10" x14ac:dyDescent="0.25">
      <c r="A2" s="7">
        <v>1</v>
      </c>
      <c r="B2" s="7">
        <v>38</v>
      </c>
      <c r="C2" s="9">
        <f t="shared" ref="C2:C14" si="0">B2/104</f>
        <v>0.36538461538461536</v>
      </c>
      <c r="D2" s="9">
        <f t="shared" ref="D2:D14" si="1">-LN(C2)</f>
        <v>1.006804739414987</v>
      </c>
      <c r="E2" s="9">
        <f t="shared" ref="E2:E14" si="2">1/$J$2+1/B2</f>
        <v>3.5931174089068825E-2</v>
      </c>
      <c r="F2" s="9">
        <f t="shared" ref="F2:F14" si="3">LN(D2)</f>
        <v>6.7816916725794846E-3</v>
      </c>
      <c r="G2" s="9">
        <f t="shared" ref="G2:G14" si="4">E2/D2</f>
        <v>3.5688324341765568E-2</v>
      </c>
      <c r="H2" s="1"/>
      <c r="I2" s="1" t="s">
        <v>3</v>
      </c>
      <c r="J2" s="3">
        <v>104</v>
      </c>
    </row>
    <row r="3" spans="1:10" x14ac:dyDescent="0.25">
      <c r="A3" s="7">
        <v>2</v>
      </c>
      <c r="B3" s="7">
        <v>43</v>
      </c>
      <c r="C3" s="9">
        <f t="shared" si="0"/>
        <v>0.41346153846153844</v>
      </c>
      <c r="D3" s="9">
        <f t="shared" si="1"/>
        <v>0.88319078344781032</v>
      </c>
      <c r="E3" s="9">
        <f t="shared" si="2"/>
        <v>3.2871198568872988E-2</v>
      </c>
      <c r="F3" s="9">
        <f t="shared" si="3"/>
        <v>-0.1242140389215789</v>
      </c>
      <c r="G3" s="9">
        <f t="shared" si="4"/>
        <v>3.7218683873205767E-2</v>
      </c>
      <c r="H3" s="1"/>
    </row>
    <row r="4" spans="1:10" x14ac:dyDescent="0.25">
      <c r="A4" s="7">
        <v>3</v>
      </c>
      <c r="B4" s="7">
        <v>45</v>
      </c>
      <c r="C4" s="9">
        <f t="shared" si="0"/>
        <v>0.43269230769230771</v>
      </c>
      <c r="D4" s="9">
        <f t="shared" si="1"/>
        <v>0.83772840937105286</v>
      </c>
      <c r="E4" s="9">
        <f t="shared" si="2"/>
        <v>3.1837606837606836E-2</v>
      </c>
      <c r="F4" s="9">
        <f t="shared" si="3"/>
        <v>-0.17706132485910164</v>
      </c>
      <c r="G4" s="9">
        <f t="shared" si="4"/>
        <v>3.8004688012800922E-2</v>
      </c>
      <c r="H4" s="1"/>
    </row>
    <row r="5" spans="1:10" x14ac:dyDescent="0.25">
      <c r="A5" s="7">
        <v>4</v>
      </c>
      <c r="B5" s="7">
        <v>51</v>
      </c>
      <c r="C5" s="9">
        <f t="shared" si="0"/>
        <v>0.49038461538461536</v>
      </c>
      <c r="D5" s="9">
        <f t="shared" si="1"/>
        <v>0.71256526641704698</v>
      </c>
      <c r="E5" s="9">
        <f t="shared" si="2"/>
        <v>2.9223227752639518E-2</v>
      </c>
      <c r="F5" s="9">
        <f t="shared" si="3"/>
        <v>-0.33888376904569956</v>
      </c>
      <c r="G5" s="9">
        <f t="shared" si="4"/>
        <v>4.1011299778308134E-2</v>
      </c>
      <c r="H5" s="1"/>
    </row>
    <row r="6" spans="1:10" x14ac:dyDescent="0.25">
      <c r="A6" s="7">
        <v>5</v>
      </c>
      <c r="B6" s="7">
        <v>54</v>
      </c>
      <c r="C6" s="9">
        <f t="shared" si="0"/>
        <v>0.51923076923076927</v>
      </c>
      <c r="D6" s="9">
        <f t="shared" si="1"/>
        <v>0.65540685257709819</v>
      </c>
      <c r="E6" s="9">
        <f t="shared" si="2"/>
        <v>2.8133903133903133E-2</v>
      </c>
      <c r="F6" s="9">
        <f t="shared" si="3"/>
        <v>-0.42249908720739132</v>
      </c>
      <c r="G6" s="9">
        <f t="shared" si="4"/>
        <v>4.2925860514394953E-2</v>
      </c>
      <c r="H6" s="1"/>
    </row>
    <row r="7" spans="1:10" x14ac:dyDescent="0.25">
      <c r="A7" s="7">
        <v>6</v>
      </c>
      <c r="B7" s="7">
        <v>55</v>
      </c>
      <c r="C7" s="9">
        <f t="shared" si="0"/>
        <v>0.52884615384615385</v>
      </c>
      <c r="D7" s="9">
        <f t="shared" si="1"/>
        <v>0.63705771390890176</v>
      </c>
      <c r="E7" s="9">
        <f t="shared" si="2"/>
        <v>2.7797202797202797E-2</v>
      </c>
      <c r="F7" s="9">
        <f t="shared" si="3"/>
        <v>-0.45089502483141458</v>
      </c>
      <c r="G7" s="9">
        <f t="shared" si="4"/>
        <v>4.3633727667533984E-2</v>
      </c>
      <c r="H7" s="1"/>
    </row>
    <row r="8" spans="1:10" x14ac:dyDescent="0.25">
      <c r="A8" s="7">
        <v>7</v>
      </c>
      <c r="B8" s="7">
        <v>60</v>
      </c>
      <c r="C8" s="9">
        <f t="shared" si="0"/>
        <v>0.57692307692307687</v>
      </c>
      <c r="D8" s="9">
        <f t="shared" si="1"/>
        <v>0.55004633691927207</v>
      </c>
      <c r="E8" s="9">
        <f t="shared" si="2"/>
        <v>2.6282051282051282E-2</v>
      </c>
      <c r="F8" s="9">
        <f t="shared" si="3"/>
        <v>-0.59775275536023242</v>
      </c>
      <c r="G8" s="9">
        <f t="shared" si="4"/>
        <v>4.7781522242749862E-2</v>
      </c>
      <c r="H8" s="1"/>
    </row>
    <row r="9" spans="1:10" x14ac:dyDescent="0.25">
      <c r="A9" s="7">
        <v>8</v>
      </c>
      <c r="B9" s="7">
        <v>62</v>
      </c>
      <c r="C9" s="9">
        <f t="shared" si="0"/>
        <v>0.59615384615384615</v>
      </c>
      <c r="D9" s="9">
        <f t="shared" si="1"/>
        <v>0.51725651409628115</v>
      </c>
      <c r="E9" s="9">
        <f t="shared" si="2"/>
        <v>2.5744416873449132E-2</v>
      </c>
      <c r="F9" s="9">
        <f t="shared" si="3"/>
        <v>-0.65921636872620304</v>
      </c>
      <c r="G9" s="9">
        <f t="shared" si="4"/>
        <v>4.977108295760798E-2</v>
      </c>
      <c r="H9" s="1"/>
    </row>
    <row r="10" spans="1:10" x14ac:dyDescent="0.25">
      <c r="A10" s="7">
        <v>9</v>
      </c>
      <c r="B10" s="7">
        <v>65</v>
      </c>
      <c r="C10" s="9">
        <f t="shared" si="0"/>
        <v>0.625</v>
      </c>
      <c r="D10" s="9">
        <f t="shared" si="1"/>
        <v>0.47000362924573558</v>
      </c>
      <c r="E10" s="9">
        <f t="shared" si="2"/>
        <v>2.5000000000000001E-2</v>
      </c>
      <c r="F10" s="9">
        <f t="shared" si="3"/>
        <v>-0.75501486250840832</v>
      </c>
      <c r="G10" s="9">
        <f t="shared" si="4"/>
        <v>5.3191078630861081E-2</v>
      </c>
      <c r="H10" s="1"/>
    </row>
    <row r="11" spans="1:10" x14ac:dyDescent="0.25">
      <c r="A11" s="7">
        <v>10</v>
      </c>
      <c r="B11" s="7">
        <v>68</v>
      </c>
      <c r="C11" s="9">
        <f t="shared" si="0"/>
        <v>0.65384615384615385</v>
      </c>
      <c r="D11" s="9">
        <f t="shared" si="1"/>
        <v>0.42488319396526597</v>
      </c>
      <c r="E11" s="9">
        <f t="shared" si="2"/>
        <v>2.4321266968325792E-2</v>
      </c>
      <c r="F11" s="9">
        <f t="shared" si="3"/>
        <v>-0.85594098556131626</v>
      </c>
      <c r="G11" s="9">
        <f t="shared" si="4"/>
        <v>5.7242242841720976E-2</v>
      </c>
      <c r="H11" s="1"/>
    </row>
    <row r="12" spans="1:10" x14ac:dyDescent="0.25">
      <c r="A12" s="7">
        <v>11</v>
      </c>
      <c r="B12" s="7">
        <v>76</v>
      </c>
      <c r="C12" s="9">
        <f t="shared" si="0"/>
        <v>0.73076923076923073</v>
      </c>
      <c r="D12" s="9">
        <f t="shared" si="1"/>
        <v>0.31365755885504165</v>
      </c>
      <c r="E12" s="9">
        <f t="shared" si="2"/>
        <v>2.277327935222672E-2</v>
      </c>
      <c r="F12" s="9">
        <f t="shared" si="3"/>
        <v>-1.1594534650803532</v>
      </c>
      <c r="G12" s="9">
        <f t="shared" si="4"/>
        <v>7.2605549298276284E-2</v>
      </c>
      <c r="H12" s="1"/>
    </row>
    <row r="13" spans="1:10" x14ac:dyDescent="0.25">
      <c r="A13" s="7">
        <v>12</v>
      </c>
      <c r="B13" s="7">
        <v>80</v>
      </c>
      <c r="C13" s="9">
        <f t="shared" si="0"/>
        <v>0.76923076923076927</v>
      </c>
      <c r="D13" s="9">
        <f t="shared" si="1"/>
        <v>0.262364264467491</v>
      </c>
      <c r="E13" s="9">
        <f t="shared" si="2"/>
        <v>2.2115384615384617E-2</v>
      </c>
      <c r="F13" s="9">
        <f t="shared" si="3"/>
        <v>-1.3380214184293211</v>
      </c>
      <c r="G13" s="9">
        <f t="shared" si="4"/>
        <v>8.4292670956051211E-2</v>
      </c>
      <c r="H13" s="1"/>
    </row>
    <row r="14" spans="1:10" x14ac:dyDescent="0.25">
      <c r="A14" s="7">
        <v>13</v>
      </c>
      <c r="B14" s="7">
        <v>83</v>
      </c>
      <c r="C14" s="9">
        <f t="shared" si="0"/>
        <v>0.79807692307692313</v>
      </c>
      <c r="D14" s="9">
        <f t="shared" si="1"/>
        <v>0.22555029134477467</v>
      </c>
      <c r="E14" s="9">
        <f t="shared" si="2"/>
        <v>2.1663577386468954E-2</v>
      </c>
      <c r="F14" s="9">
        <f t="shared" si="3"/>
        <v>-1.4892121234204101</v>
      </c>
      <c r="G14" s="9">
        <f t="shared" si="4"/>
        <v>9.60476586277344E-2</v>
      </c>
      <c r="H14" s="1"/>
    </row>
    <row r="15" spans="1:10" x14ac:dyDescent="0.25">
      <c r="C15" s="3"/>
      <c r="E15" s="3"/>
    </row>
    <row r="16" spans="1:10" x14ac:dyDescent="0.25">
      <c r="E16" s="2"/>
      <c r="F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zoomScale="150" zoomScaleNormal="150" workbookViewId="0">
      <selection activeCell="G14" sqref="A1:G14"/>
    </sheetView>
  </sheetViews>
  <sheetFormatPr defaultRowHeight="15" x14ac:dyDescent="0.25"/>
  <cols>
    <col min="1" max="1" width="3" bestFit="1" customWidth="1"/>
    <col min="2" max="2" width="6.28515625" bestFit="1" customWidth="1"/>
    <col min="3" max="3" width="5.7109375" bestFit="1" customWidth="1"/>
    <col min="4" max="4" width="6.5703125" bestFit="1" customWidth="1"/>
    <col min="5" max="5" width="10.5703125" bestFit="1" customWidth="1"/>
    <col min="6" max="6" width="7.28515625" bestFit="1" customWidth="1"/>
    <col min="7" max="7" width="12.28515625" bestFit="1" customWidth="1"/>
    <col min="9" max="9" width="7.28515625" bestFit="1" customWidth="1"/>
    <col min="10" max="10" width="4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28</v>
      </c>
      <c r="E1" s="8" t="s">
        <v>29</v>
      </c>
      <c r="F1" s="7" t="s">
        <v>30</v>
      </c>
      <c r="G1" s="7" t="s">
        <v>31</v>
      </c>
      <c r="H1" s="4"/>
    </row>
    <row r="2" spans="1:10" x14ac:dyDescent="0.25">
      <c r="A2" s="7">
        <v>1</v>
      </c>
      <c r="B2" s="7">
        <v>30</v>
      </c>
      <c r="C2" s="9">
        <f t="shared" ref="C2:C14" si="0">B2/120</f>
        <v>0.25</v>
      </c>
      <c r="D2" s="9">
        <f t="shared" ref="D2:D14" si="1">-LN(C2)</f>
        <v>1.3862943611198906</v>
      </c>
      <c r="E2" s="9">
        <f t="shared" ref="E2:E14" si="2">1/$J$2+1/B2</f>
        <v>4.1666666666666664E-2</v>
      </c>
      <c r="F2" s="9">
        <f t="shared" ref="F2:F14" si="3">LN(D2)</f>
        <v>0.32663425997828094</v>
      </c>
      <c r="G2" s="9">
        <f t="shared" ref="G2:G14" si="4">E2/D2</f>
        <v>3.0056146685186736E-2</v>
      </c>
      <c r="H2" s="1"/>
      <c r="I2" s="1" t="s">
        <v>3</v>
      </c>
      <c r="J2" s="3">
        <v>120</v>
      </c>
    </row>
    <row r="3" spans="1:10" x14ac:dyDescent="0.25">
      <c r="A3" s="7">
        <v>2</v>
      </c>
      <c r="B3" s="7">
        <v>68</v>
      </c>
      <c r="C3" s="9">
        <f t="shared" si="0"/>
        <v>0.56666666666666665</v>
      </c>
      <c r="D3" s="9">
        <f t="shared" si="1"/>
        <v>0.5679840376059393</v>
      </c>
      <c r="E3" s="9">
        <f t="shared" si="2"/>
        <v>2.3039215686274511E-2</v>
      </c>
      <c r="F3" s="9">
        <f t="shared" si="3"/>
        <v>-0.56566196346232189</v>
      </c>
      <c r="G3" s="9">
        <f t="shared" si="4"/>
        <v>4.0563139385721349E-2</v>
      </c>
      <c r="H3" s="1"/>
    </row>
    <row r="4" spans="1:10" x14ac:dyDescent="0.25">
      <c r="A4" s="7">
        <v>3</v>
      </c>
      <c r="B4" s="7">
        <v>70</v>
      </c>
      <c r="C4" s="9">
        <f t="shared" si="0"/>
        <v>0.58333333333333337</v>
      </c>
      <c r="D4" s="9">
        <f t="shared" si="1"/>
        <v>0.5389965007326869</v>
      </c>
      <c r="E4" s="9">
        <f t="shared" si="2"/>
        <v>2.2619047619047618E-2</v>
      </c>
      <c r="F4" s="9">
        <f t="shared" si="3"/>
        <v>-0.61804620024136259</v>
      </c>
      <c r="G4" s="9">
        <f t="shared" si="4"/>
        <v>4.1965110326876581E-2</v>
      </c>
      <c r="H4" s="1"/>
    </row>
    <row r="5" spans="1:10" x14ac:dyDescent="0.25">
      <c r="A5" s="7">
        <v>4</v>
      </c>
      <c r="B5" s="7">
        <v>75</v>
      </c>
      <c r="C5" s="9">
        <f t="shared" si="0"/>
        <v>0.625</v>
      </c>
      <c r="D5" s="9">
        <f t="shared" si="1"/>
        <v>0.47000362924573558</v>
      </c>
      <c r="E5" s="9">
        <f t="shared" si="2"/>
        <v>2.1666666666666667E-2</v>
      </c>
      <c r="F5" s="9">
        <f t="shared" si="3"/>
        <v>-0.75501486250840832</v>
      </c>
      <c r="G5" s="9">
        <f t="shared" si="4"/>
        <v>4.6098934813412935E-2</v>
      </c>
      <c r="H5" s="1"/>
    </row>
    <row r="6" spans="1:10" x14ac:dyDescent="0.25">
      <c r="A6" s="7">
        <v>5</v>
      </c>
      <c r="B6" s="7">
        <v>78</v>
      </c>
      <c r="C6" s="9">
        <f t="shared" si="0"/>
        <v>0.65</v>
      </c>
      <c r="D6" s="9">
        <f t="shared" si="1"/>
        <v>0.43078291609245423</v>
      </c>
      <c r="E6" s="9">
        <f t="shared" si="2"/>
        <v>2.1153846153846155E-2</v>
      </c>
      <c r="F6" s="9">
        <f t="shared" si="3"/>
        <v>-0.84215099072473287</v>
      </c>
      <c r="G6" s="9">
        <f t="shared" si="4"/>
        <v>4.9105582797313474E-2</v>
      </c>
      <c r="H6" s="1"/>
    </row>
    <row r="7" spans="1:10" x14ac:dyDescent="0.25">
      <c r="A7" s="7">
        <v>6</v>
      </c>
      <c r="B7" s="7">
        <v>86</v>
      </c>
      <c r="C7" s="9">
        <f t="shared" si="0"/>
        <v>0.71666666666666667</v>
      </c>
      <c r="D7" s="9">
        <f t="shared" si="1"/>
        <v>0.33314444652853825</v>
      </c>
      <c r="E7" s="9">
        <f t="shared" si="2"/>
        <v>1.9961240310077517E-2</v>
      </c>
      <c r="F7" s="9">
        <f t="shared" si="3"/>
        <v>-1.0991791096951857</v>
      </c>
      <c r="G7" s="9">
        <f t="shared" si="4"/>
        <v>5.9917673904156081E-2</v>
      </c>
      <c r="H7" s="1"/>
    </row>
    <row r="8" spans="1:10" x14ac:dyDescent="0.25">
      <c r="A8" s="7">
        <v>7</v>
      </c>
      <c r="B8" s="7">
        <v>88</v>
      </c>
      <c r="C8" s="9">
        <f t="shared" si="0"/>
        <v>0.73333333333333328</v>
      </c>
      <c r="D8" s="9">
        <f t="shared" si="1"/>
        <v>0.31015492830383962</v>
      </c>
      <c r="E8" s="9">
        <f t="shared" si="2"/>
        <v>1.9696969696969699E-2</v>
      </c>
      <c r="F8" s="9">
        <f t="shared" si="3"/>
        <v>-1.1706833376236763</v>
      </c>
      <c r="G8" s="9">
        <f t="shared" si="4"/>
        <v>6.3506873176858866E-2</v>
      </c>
      <c r="H8" s="1"/>
    </row>
    <row r="9" spans="1:10" x14ac:dyDescent="0.25">
      <c r="A9" s="7">
        <v>8</v>
      </c>
      <c r="B9" s="7">
        <v>92</v>
      </c>
      <c r="C9" s="9">
        <f t="shared" si="0"/>
        <v>0.76666666666666672</v>
      </c>
      <c r="D9" s="9">
        <f t="shared" si="1"/>
        <v>0.26570316573300562</v>
      </c>
      <c r="E9" s="9">
        <f t="shared" si="2"/>
        <v>1.9202898550724636E-2</v>
      </c>
      <c r="F9" s="9">
        <f t="shared" si="3"/>
        <v>-1.3253755115978281</v>
      </c>
      <c r="G9" s="9">
        <f t="shared" si="4"/>
        <v>7.2271997579512665E-2</v>
      </c>
      <c r="H9" s="1"/>
    </row>
    <row r="10" spans="1:10" x14ac:dyDescent="0.25">
      <c r="A10" s="7">
        <v>9</v>
      </c>
      <c r="B10" s="7">
        <v>100</v>
      </c>
      <c r="C10" s="9">
        <f t="shared" si="0"/>
        <v>0.83333333333333337</v>
      </c>
      <c r="D10" s="9">
        <f t="shared" si="1"/>
        <v>0.18232155679395459</v>
      </c>
      <c r="E10" s="9">
        <f t="shared" si="2"/>
        <v>1.8333333333333333E-2</v>
      </c>
      <c r="F10" s="9">
        <f t="shared" si="3"/>
        <v>-1.7019833552815005</v>
      </c>
      <c r="G10" s="9">
        <f t="shared" si="4"/>
        <v>0.10055494070869643</v>
      </c>
      <c r="H10" s="1"/>
    </row>
    <row r="11" spans="1:10" x14ac:dyDescent="0.25">
      <c r="A11" s="7">
        <v>10</v>
      </c>
      <c r="B11" s="7">
        <v>104</v>
      </c>
      <c r="C11" s="9">
        <f t="shared" si="0"/>
        <v>0.8666666666666667</v>
      </c>
      <c r="D11" s="9">
        <f t="shared" si="1"/>
        <v>0.1431008436406733</v>
      </c>
      <c r="E11" s="9">
        <f t="shared" si="2"/>
        <v>1.7948717948717947E-2</v>
      </c>
      <c r="F11" s="9">
        <f t="shared" si="3"/>
        <v>-1.944205696974683</v>
      </c>
      <c r="G11" s="9">
        <f t="shared" si="4"/>
        <v>0.12542705893325995</v>
      </c>
      <c r="H11" s="1"/>
    </row>
    <row r="12" spans="1:10" x14ac:dyDescent="0.25">
      <c r="A12" s="7">
        <v>11</v>
      </c>
      <c r="B12" s="7">
        <v>108</v>
      </c>
      <c r="C12" s="9">
        <f t="shared" si="0"/>
        <v>0.9</v>
      </c>
      <c r="D12" s="9">
        <f t="shared" si="1"/>
        <v>0.10536051565782628</v>
      </c>
      <c r="E12" s="9">
        <f t="shared" si="2"/>
        <v>1.759259259259259E-2</v>
      </c>
      <c r="F12" s="9">
        <f t="shared" si="3"/>
        <v>-2.2503673273124454</v>
      </c>
      <c r="G12" s="9">
        <f t="shared" si="4"/>
        <v>0.16697519448108164</v>
      </c>
      <c r="H12" s="1"/>
    </row>
    <row r="13" spans="1:10" x14ac:dyDescent="0.25">
      <c r="A13" s="7">
        <v>12</v>
      </c>
      <c r="B13" s="7">
        <v>110</v>
      </c>
      <c r="C13" s="9">
        <f t="shared" si="0"/>
        <v>0.91666666666666663</v>
      </c>
      <c r="D13" s="9">
        <f t="shared" si="1"/>
        <v>8.701137698962981E-2</v>
      </c>
      <c r="E13" s="9">
        <f t="shared" si="2"/>
        <v>1.7424242424242425E-2</v>
      </c>
      <c r="F13" s="9">
        <f t="shared" si="3"/>
        <v>-2.441716398881459</v>
      </c>
      <c r="G13" s="9">
        <f t="shared" si="4"/>
        <v>0.20025246154096701</v>
      </c>
      <c r="H13" s="1"/>
    </row>
    <row r="14" spans="1:10" x14ac:dyDescent="0.25">
      <c r="A14" s="7">
        <v>13</v>
      </c>
      <c r="B14" s="7">
        <v>110</v>
      </c>
      <c r="C14" s="9">
        <f t="shared" si="0"/>
        <v>0.91666666666666663</v>
      </c>
      <c r="D14" s="9">
        <f t="shared" si="1"/>
        <v>8.701137698962981E-2</v>
      </c>
      <c r="E14" s="9">
        <f t="shared" si="2"/>
        <v>1.7424242424242425E-2</v>
      </c>
      <c r="F14" s="9">
        <f t="shared" si="3"/>
        <v>-2.441716398881459</v>
      </c>
      <c r="G14" s="9">
        <f t="shared" si="4"/>
        <v>0.20025246154096701</v>
      </c>
      <c r="H14" s="1"/>
    </row>
    <row r="15" spans="1:10" x14ac:dyDescent="0.25">
      <c r="C15" s="3"/>
      <c r="E15" s="3"/>
    </row>
    <row r="16" spans="1:10" x14ac:dyDescent="0.25">
      <c r="E16" s="2"/>
      <c r="F1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zoomScale="150" zoomScaleNormal="150" workbookViewId="0">
      <selection activeCell="G14" sqref="A1:G14"/>
    </sheetView>
  </sheetViews>
  <sheetFormatPr defaultRowHeight="15" x14ac:dyDescent="0.25"/>
  <cols>
    <col min="1" max="1" width="3" bestFit="1" customWidth="1"/>
    <col min="2" max="2" width="6.28515625" bestFit="1" customWidth="1"/>
    <col min="3" max="3" width="5.7109375" bestFit="1" customWidth="1"/>
    <col min="4" max="4" width="6.5703125" bestFit="1" customWidth="1"/>
    <col min="5" max="5" width="10.5703125" bestFit="1" customWidth="1"/>
    <col min="6" max="6" width="7.28515625" bestFit="1" customWidth="1"/>
    <col min="7" max="7" width="12.28515625" bestFit="1" customWidth="1"/>
    <col min="9" max="9" width="7.28515625" bestFit="1" customWidth="1"/>
    <col min="10" max="10" width="4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28</v>
      </c>
      <c r="E1" s="8" t="s">
        <v>29</v>
      </c>
      <c r="F1" s="7" t="s">
        <v>30</v>
      </c>
      <c r="G1" s="7" t="s">
        <v>31</v>
      </c>
      <c r="H1" s="4"/>
    </row>
    <row r="2" spans="1:10" x14ac:dyDescent="0.25">
      <c r="A2" s="7">
        <v>1</v>
      </c>
      <c r="B2" s="7">
        <v>12</v>
      </c>
      <c r="C2" s="9">
        <f t="shared" ref="C2:C14" si="0">B2/110</f>
        <v>0.10909090909090909</v>
      </c>
      <c r="D2" s="9">
        <f t="shared" ref="D2:D14" si="1">-LN(C2)</f>
        <v>2.2155737160044158</v>
      </c>
      <c r="E2" s="9">
        <f t="shared" ref="E2:E14" si="2">1/$J$2+1/B2</f>
        <v>9.2424242424242423E-2</v>
      </c>
      <c r="F2" s="9">
        <f t="shared" ref="F2:F14" si="3">LN(D2)</f>
        <v>0.79551138395624355</v>
      </c>
      <c r="G2" s="9">
        <f t="shared" ref="G2:G14" si="4">E2/D2</f>
        <v>4.1715715327640318E-2</v>
      </c>
      <c r="H2" s="1"/>
      <c r="I2" s="1" t="s">
        <v>3</v>
      </c>
      <c r="J2" s="3">
        <v>110</v>
      </c>
    </row>
    <row r="3" spans="1:10" x14ac:dyDescent="0.25">
      <c r="A3" s="7">
        <v>2</v>
      </c>
      <c r="B3" s="7">
        <v>60</v>
      </c>
      <c r="C3" s="9">
        <f t="shared" si="0"/>
        <v>0.54545454545454541</v>
      </c>
      <c r="D3" s="9">
        <f t="shared" si="1"/>
        <v>0.6061358035703156</v>
      </c>
      <c r="E3" s="9">
        <f t="shared" si="2"/>
        <v>2.5757575757575757E-2</v>
      </c>
      <c r="F3" s="9">
        <f t="shared" si="3"/>
        <v>-0.50065121971824522</v>
      </c>
      <c r="G3" s="9">
        <f t="shared" si="4"/>
        <v>4.2494727428830585E-2</v>
      </c>
      <c r="H3" s="1"/>
    </row>
    <row r="4" spans="1:10" x14ac:dyDescent="0.25">
      <c r="A4" s="7">
        <v>3</v>
      </c>
      <c r="B4" s="7">
        <v>63</v>
      </c>
      <c r="C4" s="9">
        <f t="shared" si="0"/>
        <v>0.57272727272727275</v>
      </c>
      <c r="D4" s="9">
        <f t="shared" si="1"/>
        <v>0.55734563940088355</v>
      </c>
      <c r="E4" s="9">
        <f t="shared" si="2"/>
        <v>2.4963924963924963E-2</v>
      </c>
      <c r="F4" s="9">
        <f t="shared" si="3"/>
        <v>-0.58456969398462211</v>
      </c>
      <c r="G4" s="9">
        <f t="shared" si="4"/>
        <v>4.4790742403151902E-2</v>
      </c>
      <c r="H4" s="1"/>
    </row>
    <row r="5" spans="1:10" x14ac:dyDescent="0.25">
      <c r="A5" s="7">
        <v>4</v>
      </c>
      <c r="B5" s="7">
        <v>65</v>
      </c>
      <c r="C5" s="9">
        <f t="shared" si="0"/>
        <v>0.59090909090909094</v>
      </c>
      <c r="D5" s="9">
        <f t="shared" si="1"/>
        <v>0.52609309589677911</v>
      </c>
      <c r="E5" s="9">
        <f t="shared" si="2"/>
        <v>2.4475524475524476E-2</v>
      </c>
      <c r="F5" s="9">
        <f t="shared" si="3"/>
        <v>-0.64227709350810724</v>
      </c>
      <c r="G5" s="9">
        <f t="shared" si="4"/>
        <v>4.6523181289432169E-2</v>
      </c>
      <c r="H5" s="1"/>
    </row>
    <row r="6" spans="1:10" x14ac:dyDescent="0.25">
      <c r="A6" s="7">
        <v>5</v>
      </c>
      <c r="B6" s="7">
        <v>67</v>
      </c>
      <c r="C6" s="9">
        <f t="shared" si="0"/>
        <v>0.60909090909090913</v>
      </c>
      <c r="D6" s="9">
        <f t="shared" si="1"/>
        <v>0.49578774640145012</v>
      </c>
      <c r="E6" s="9">
        <f t="shared" si="2"/>
        <v>2.4016282225237447E-2</v>
      </c>
      <c r="F6" s="9">
        <f t="shared" si="3"/>
        <v>-0.70160737448789445</v>
      </c>
      <c r="G6" s="9">
        <f t="shared" si="4"/>
        <v>4.844065308098789E-2</v>
      </c>
      <c r="H6" s="1"/>
    </row>
    <row r="7" spans="1:10" x14ac:dyDescent="0.25">
      <c r="A7" s="7">
        <v>6</v>
      </c>
      <c r="B7" s="7">
        <v>70</v>
      </c>
      <c r="C7" s="9">
        <f t="shared" si="0"/>
        <v>0.63636363636363635</v>
      </c>
      <c r="D7" s="9">
        <f t="shared" si="1"/>
        <v>0.45198512374305727</v>
      </c>
      <c r="E7" s="9">
        <f t="shared" si="2"/>
        <v>2.3376623376623377E-2</v>
      </c>
      <c r="F7" s="9">
        <f t="shared" si="3"/>
        <v>-0.79410601176440221</v>
      </c>
      <c r="G7" s="9">
        <f t="shared" si="4"/>
        <v>5.1719895520084484E-2</v>
      </c>
      <c r="H7" s="1"/>
    </row>
    <row r="8" spans="1:10" x14ac:dyDescent="0.25">
      <c r="A8" s="7">
        <v>7</v>
      </c>
      <c r="B8" s="7">
        <v>75</v>
      </c>
      <c r="C8" s="9">
        <f t="shared" si="0"/>
        <v>0.68181818181818177</v>
      </c>
      <c r="D8" s="9">
        <f t="shared" si="1"/>
        <v>0.38299225225610584</v>
      </c>
      <c r="E8" s="9">
        <f t="shared" si="2"/>
        <v>2.2424242424242423E-2</v>
      </c>
      <c r="F8" s="9">
        <f t="shared" si="3"/>
        <v>-0.95974051910243141</v>
      </c>
      <c r="G8" s="9">
        <f t="shared" si="4"/>
        <v>5.8550120249553757E-2</v>
      </c>
      <c r="H8" s="1"/>
    </row>
    <row r="9" spans="1:10" x14ac:dyDescent="0.25">
      <c r="A9" s="7">
        <v>8</v>
      </c>
      <c r="B9" s="7">
        <v>81</v>
      </c>
      <c r="C9" s="9">
        <f t="shared" si="0"/>
        <v>0.73636363636363633</v>
      </c>
      <c r="D9" s="9">
        <f t="shared" si="1"/>
        <v>0.3060312111199775</v>
      </c>
      <c r="E9" s="9">
        <f t="shared" si="2"/>
        <v>2.1436588103254769E-2</v>
      </c>
      <c r="F9" s="9">
        <f t="shared" si="3"/>
        <v>-1.1840681851069998</v>
      </c>
      <c r="G9" s="9">
        <f t="shared" si="4"/>
        <v>7.0047064888589736E-2</v>
      </c>
      <c r="H9" s="1"/>
    </row>
    <row r="10" spans="1:10" x14ac:dyDescent="0.25">
      <c r="A10" s="7">
        <v>9</v>
      </c>
      <c r="B10" s="7">
        <v>86</v>
      </c>
      <c r="C10" s="9">
        <f t="shared" si="0"/>
        <v>0.78181818181818186</v>
      </c>
      <c r="D10" s="9">
        <f t="shared" si="1"/>
        <v>0.24613306953890846</v>
      </c>
      <c r="E10" s="9">
        <f t="shared" si="2"/>
        <v>2.0718816067653276E-2</v>
      </c>
      <c r="F10" s="9">
        <f t="shared" si="3"/>
        <v>-1.4018829562163426</v>
      </c>
      <c r="G10" s="9">
        <f t="shared" si="4"/>
        <v>8.417729525929496E-2</v>
      </c>
      <c r="H10" s="1"/>
    </row>
    <row r="11" spans="1:10" x14ac:dyDescent="0.25">
      <c r="A11" s="7">
        <v>10</v>
      </c>
      <c r="B11" s="7">
        <v>86</v>
      </c>
      <c r="C11" s="9">
        <f t="shared" si="0"/>
        <v>0.78181818181818186</v>
      </c>
      <c r="D11" s="9">
        <f t="shared" si="1"/>
        <v>0.24613306953890846</v>
      </c>
      <c r="E11" s="9">
        <f t="shared" si="2"/>
        <v>2.0718816067653276E-2</v>
      </c>
      <c r="F11" s="9">
        <f t="shared" si="3"/>
        <v>-1.4018829562163426</v>
      </c>
      <c r="G11" s="9">
        <f t="shared" si="4"/>
        <v>8.417729525929496E-2</v>
      </c>
      <c r="H11" s="1"/>
    </row>
    <row r="12" spans="1:10" x14ac:dyDescent="0.25">
      <c r="A12" s="7">
        <v>11</v>
      </c>
      <c r="B12" s="7">
        <v>89</v>
      </c>
      <c r="C12" s="9">
        <f t="shared" si="0"/>
        <v>0.80909090909090908</v>
      </c>
      <c r="D12" s="9">
        <f t="shared" si="1"/>
        <v>0.2118439960602764</v>
      </c>
      <c r="E12" s="9">
        <f t="shared" si="2"/>
        <v>2.0326864147088865E-2</v>
      </c>
      <c r="F12" s="9">
        <f t="shared" si="3"/>
        <v>-1.55190514283382</v>
      </c>
      <c r="G12" s="9">
        <f t="shared" si="4"/>
        <v>9.5952042659284156E-2</v>
      </c>
      <c r="H12" s="1"/>
    </row>
    <row r="13" spans="1:10" x14ac:dyDescent="0.25">
      <c r="A13" s="7">
        <v>12</v>
      </c>
      <c r="B13" s="7">
        <v>91</v>
      </c>
      <c r="C13" s="9">
        <f t="shared" si="0"/>
        <v>0.82727272727272727</v>
      </c>
      <c r="D13" s="9">
        <f t="shared" si="1"/>
        <v>0.18962085927556618</v>
      </c>
      <c r="E13" s="9">
        <f t="shared" si="2"/>
        <v>2.0079920079920079E-2</v>
      </c>
      <c r="F13" s="9">
        <f t="shared" si="3"/>
        <v>-1.6627286779364794</v>
      </c>
      <c r="G13" s="9">
        <f t="shared" si="4"/>
        <v>0.10589510118577708</v>
      </c>
      <c r="H13" s="1"/>
    </row>
    <row r="14" spans="1:10" x14ac:dyDescent="0.25">
      <c r="A14" s="7">
        <v>13</v>
      </c>
      <c r="B14" s="7">
        <v>95</v>
      </c>
      <c r="C14" s="9">
        <f t="shared" si="0"/>
        <v>0.86363636363636365</v>
      </c>
      <c r="D14" s="9">
        <f t="shared" si="1"/>
        <v>0.14660347419187539</v>
      </c>
      <c r="E14" s="9">
        <f t="shared" si="2"/>
        <v>1.9617224880382776E-2</v>
      </c>
      <c r="F14" s="9">
        <f t="shared" si="3"/>
        <v>-1.9200237913664919</v>
      </c>
      <c r="G14" s="9">
        <f t="shared" si="4"/>
        <v>0.13381145971143665</v>
      </c>
      <c r="H14" s="1"/>
    </row>
    <row r="15" spans="1:10" x14ac:dyDescent="0.25">
      <c r="C15" s="3"/>
      <c r="E15" s="3"/>
      <c r="G15" s="1"/>
    </row>
    <row r="16" spans="1:10" x14ac:dyDescent="0.25">
      <c r="E16" s="2"/>
      <c r="F1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zoomScale="150" zoomScaleNormal="150" workbookViewId="0">
      <selection activeCell="G14" sqref="A1:G14"/>
    </sheetView>
  </sheetViews>
  <sheetFormatPr defaultRowHeight="15" x14ac:dyDescent="0.25"/>
  <cols>
    <col min="1" max="1" width="3" bestFit="1" customWidth="1"/>
    <col min="2" max="2" width="6.28515625" bestFit="1" customWidth="1"/>
    <col min="3" max="3" width="5.7109375" bestFit="1" customWidth="1"/>
    <col min="4" max="4" width="6.5703125" bestFit="1" customWidth="1"/>
    <col min="5" max="5" width="10.5703125" bestFit="1" customWidth="1"/>
    <col min="6" max="6" width="7.28515625" bestFit="1" customWidth="1"/>
    <col min="7" max="7" width="12.28515625" bestFit="1" customWidth="1"/>
    <col min="9" max="9" width="7.28515625" bestFit="1" customWidth="1"/>
    <col min="10" max="10" width="4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28</v>
      </c>
      <c r="E1" s="8" t="s">
        <v>29</v>
      </c>
      <c r="F1" s="7" t="s">
        <v>30</v>
      </c>
      <c r="G1" s="7" t="s">
        <v>31</v>
      </c>
      <c r="H1" s="4"/>
    </row>
    <row r="2" spans="1:10" x14ac:dyDescent="0.25">
      <c r="A2" s="7">
        <v>1</v>
      </c>
      <c r="B2" s="7">
        <v>33</v>
      </c>
      <c r="C2" s="9">
        <f t="shared" ref="C2:C14" si="0">B2/150</f>
        <v>0.22</v>
      </c>
      <c r="D2" s="9">
        <f t="shared" ref="D2:D14" si="1">-LN(C2)</f>
        <v>1.5141277326297755</v>
      </c>
      <c r="E2" s="9">
        <f t="shared" ref="E2:E14" si="2">1/$J$2+1/B2</f>
        <v>3.6969696969696972E-2</v>
      </c>
      <c r="F2" s="9">
        <f t="shared" ref="F2:F14" si="3">LN(D2)</f>
        <v>0.41483951911157629</v>
      </c>
      <c r="G2" s="9">
        <f t="shared" ref="G2:G14" si="4">E2/D2</f>
        <v>2.4416498141465952E-2</v>
      </c>
      <c r="H2" s="1"/>
      <c r="I2" s="1" t="s">
        <v>3</v>
      </c>
      <c r="J2" s="3">
        <v>150</v>
      </c>
    </row>
    <row r="3" spans="1:10" x14ac:dyDescent="0.25">
      <c r="A3" s="7">
        <v>2</v>
      </c>
      <c r="B3" s="7">
        <v>50</v>
      </c>
      <c r="C3" s="9">
        <f t="shared" si="0"/>
        <v>0.33333333333333331</v>
      </c>
      <c r="D3" s="9">
        <f t="shared" si="1"/>
        <v>1.0986122886681098</v>
      </c>
      <c r="E3" s="9">
        <f t="shared" si="2"/>
        <v>2.6666666666666668E-2</v>
      </c>
      <c r="F3" s="9">
        <f t="shared" si="3"/>
        <v>9.4047827616699095E-2</v>
      </c>
      <c r="G3" s="9">
        <f t="shared" si="4"/>
        <v>2.4273046043382328E-2</v>
      </c>
      <c r="H3" s="1"/>
    </row>
    <row r="4" spans="1:10" x14ac:dyDescent="0.25">
      <c r="A4" s="7">
        <v>3</v>
      </c>
      <c r="B4" s="7">
        <v>60</v>
      </c>
      <c r="C4" s="9">
        <f t="shared" si="0"/>
        <v>0.4</v>
      </c>
      <c r="D4" s="9">
        <f t="shared" si="1"/>
        <v>0.916290731874155</v>
      </c>
      <c r="E4" s="9">
        <f t="shared" si="2"/>
        <v>2.3333333333333334E-2</v>
      </c>
      <c r="F4" s="9">
        <f t="shared" si="3"/>
        <v>-8.7421571790755173E-2</v>
      </c>
      <c r="G4" s="9">
        <f t="shared" si="4"/>
        <v>2.5464988918536803E-2</v>
      </c>
      <c r="H4" s="1"/>
    </row>
    <row r="5" spans="1:10" x14ac:dyDescent="0.25">
      <c r="A5" s="7">
        <v>4</v>
      </c>
      <c r="B5" s="7">
        <v>61</v>
      </c>
      <c r="C5" s="9">
        <f t="shared" si="0"/>
        <v>0.40666666666666668</v>
      </c>
      <c r="D5" s="9">
        <f t="shared" si="1"/>
        <v>0.8997614299229445</v>
      </c>
      <c r="E5" s="9">
        <f t="shared" si="2"/>
        <v>2.3060109289617488E-2</v>
      </c>
      <c r="F5" s="9">
        <f t="shared" si="3"/>
        <v>-0.10562562866056804</v>
      </c>
      <c r="G5" s="9">
        <f t="shared" si="4"/>
        <v>2.5629137372105797E-2</v>
      </c>
      <c r="H5" s="1"/>
    </row>
    <row r="6" spans="1:10" x14ac:dyDescent="0.25">
      <c r="A6" s="7">
        <v>5</v>
      </c>
      <c r="B6" s="7">
        <v>60</v>
      </c>
      <c r="C6" s="9">
        <f t="shared" si="0"/>
        <v>0.4</v>
      </c>
      <c r="D6" s="9">
        <f t="shared" si="1"/>
        <v>0.916290731874155</v>
      </c>
      <c r="E6" s="9">
        <f t="shared" si="2"/>
        <v>2.3333333333333334E-2</v>
      </c>
      <c r="F6" s="9">
        <f t="shared" si="3"/>
        <v>-8.7421571790755173E-2</v>
      </c>
      <c r="G6" s="9">
        <f t="shared" si="4"/>
        <v>2.5464988918536803E-2</v>
      </c>
      <c r="H6" s="1"/>
    </row>
    <row r="7" spans="1:10" x14ac:dyDescent="0.25">
      <c r="A7" s="7">
        <v>6</v>
      </c>
      <c r="B7" s="7">
        <v>65</v>
      </c>
      <c r="C7" s="9">
        <f t="shared" si="0"/>
        <v>0.43333333333333335</v>
      </c>
      <c r="D7" s="9">
        <f t="shared" si="1"/>
        <v>0.83624802420061861</v>
      </c>
      <c r="E7" s="9">
        <f t="shared" si="2"/>
        <v>2.2051282051282053E-2</v>
      </c>
      <c r="F7" s="9">
        <f t="shared" si="3"/>
        <v>-0.17883003023233321</v>
      </c>
      <c r="G7" s="9">
        <f t="shared" si="4"/>
        <v>2.6369308402684942E-2</v>
      </c>
      <c r="H7" s="1"/>
    </row>
    <row r="8" spans="1:10" x14ac:dyDescent="0.25">
      <c r="A8" s="7">
        <v>7</v>
      </c>
      <c r="B8" s="7">
        <v>73</v>
      </c>
      <c r="C8" s="9">
        <f t="shared" si="0"/>
        <v>0.48666666666666669</v>
      </c>
      <c r="D8" s="9">
        <f t="shared" si="1"/>
        <v>0.72017585294786457</v>
      </c>
      <c r="E8" s="9">
        <f t="shared" si="2"/>
        <v>2.0365296803652969E-2</v>
      </c>
      <c r="F8" s="9">
        <f t="shared" si="3"/>
        <v>-0.32825985658845186</v>
      </c>
      <c r="G8" s="9">
        <f t="shared" si="4"/>
        <v>2.8278227769360197E-2</v>
      </c>
      <c r="H8" s="1"/>
    </row>
    <row r="9" spans="1:10" x14ac:dyDescent="0.25">
      <c r="A9" s="7">
        <v>8</v>
      </c>
      <c r="B9" s="7">
        <v>77</v>
      </c>
      <c r="C9" s="9">
        <f t="shared" si="0"/>
        <v>0.51333333333333331</v>
      </c>
      <c r="D9" s="9">
        <f t="shared" si="1"/>
        <v>0.66682987224257195</v>
      </c>
      <c r="E9" s="9">
        <f t="shared" si="2"/>
        <v>1.9653679653679656E-2</v>
      </c>
      <c r="F9" s="9">
        <f t="shared" si="3"/>
        <v>-0.40522032970498428</v>
      </c>
      <c r="G9" s="9">
        <f t="shared" si="4"/>
        <v>2.9473304169148347E-2</v>
      </c>
      <c r="H9" s="1"/>
    </row>
    <row r="10" spans="1:10" x14ac:dyDescent="0.25">
      <c r="A10" s="7">
        <v>9</v>
      </c>
      <c r="B10" s="7">
        <v>79</v>
      </c>
      <c r="C10" s="9">
        <f t="shared" si="0"/>
        <v>0.52666666666666662</v>
      </c>
      <c r="D10" s="9">
        <f t="shared" si="1"/>
        <v>0.64118744162923436</v>
      </c>
      <c r="E10" s="9">
        <f t="shared" si="2"/>
        <v>1.9324894514767932E-2</v>
      </c>
      <c r="F10" s="9">
        <f t="shared" si="3"/>
        <v>-0.44443344416961766</v>
      </c>
      <c r="G10" s="9">
        <f t="shared" si="4"/>
        <v>3.0139228032389508E-2</v>
      </c>
      <c r="H10" s="1"/>
    </row>
    <row r="11" spans="1:10" x14ac:dyDescent="0.25">
      <c r="A11" s="7">
        <v>10</v>
      </c>
      <c r="B11" s="7">
        <v>80</v>
      </c>
      <c r="C11" s="9">
        <f t="shared" si="0"/>
        <v>0.53333333333333333</v>
      </c>
      <c r="D11" s="9">
        <f t="shared" si="1"/>
        <v>0.62860865942237421</v>
      </c>
      <c r="E11" s="9">
        <f t="shared" si="2"/>
        <v>1.9166666666666669E-2</v>
      </c>
      <c r="F11" s="9">
        <f t="shared" si="3"/>
        <v>-0.46424637898594656</v>
      </c>
      <c r="G11" s="9">
        <f t="shared" si="4"/>
        <v>3.049061825568683E-2</v>
      </c>
      <c r="H11" s="1"/>
    </row>
    <row r="12" spans="1:10" x14ac:dyDescent="0.25">
      <c r="A12" s="7">
        <v>11</v>
      </c>
      <c r="B12" s="7">
        <v>80</v>
      </c>
      <c r="C12" s="9">
        <f t="shared" si="0"/>
        <v>0.53333333333333333</v>
      </c>
      <c r="D12" s="9">
        <f t="shared" si="1"/>
        <v>0.62860865942237421</v>
      </c>
      <c r="E12" s="9">
        <f t="shared" si="2"/>
        <v>1.9166666666666669E-2</v>
      </c>
      <c r="F12" s="9">
        <f t="shared" si="3"/>
        <v>-0.46424637898594656</v>
      </c>
      <c r="G12" s="9">
        <f t="shared" si="4"/>
        <v>3.049061825568683E-2</v>
      </c>
      <c r="H12" s="1"/>
    </row>
    <row r="13" spans="1:10" x14ac:dyDescent="0.25">
      <c r="A13" s="7">
        <v>12</v>
      </c>
      <c r="B13" s="7">
        <v>85</v>
      </c>
      <c r="C13" s="9">
        <f t="shared" si="0"/>
        <v>0.56666666666666665</v>
      </c>
      <c r="D13" s="9">
        <f t="shared" si="1"/>
        <v>0.5679840376059393</v>
      </c>
      <c r="E13" s="9">
        <f t="shared" si="2"/>
        <v>1.8431372549019609E-2</v>
      </c>
      <c r="F13" s="9">
        <f t="shared" si="3"/>
        <v>-0.56566196346232189</v>
      </c>
      <c r="G13" s="9">
        <f t="shared" si="4"/>
        <v>3.2450511508577078E-2</v>
      </c>
      <c r="H13" s="1"/>
    </row>
    <row r="14" spans="1:10" x14ac:dyDescent="0.25">
      <c r="A14" s="7">
        <v>13</v>
      </c>
      <c r="B14" s="7">
        <v>94</v>
      </c>
      <c r="C14" s="9">
        <f t="shared" si="0"/>
        <v>0.62666666666666671</v>
      </c>
      <c r="D14" s="9">
        <f t="shared" si="1"/>
        <v>0.4673405118262518</v>
      </c>
      <c r="E14" s="9">
        <f t="shared" si="2"/>
        <v>1.7304964539007092E-2</v>
      </c>
      <c r="F14" s="9">
        <f t="shared" si="3"/>
        <v>-0.7606971396324882</v>
      </c>
      <c r="G14" s="9">
        <f t="shared" si="4"/>
        <v>3.702859927846517E-2</v>
      </c>
      <c r="H14" s="1"/>
    </row>
    <row r="15" spans="1:10" x14ac:dyDescent="0.25">
      <c r="C15" s="3"/>
      <c r="E15" s="3"/>
    </row>
    <row r="16" spans="1:10" x14ac:dyDescent="0.25">
      <c r="E16" s="2"/>
      <c r="F1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zoomScale="150" zoomScaleNormal="150" workbookViewId="0">
      <selection activeCell="J10" sqref="J10"/>
    </sheetView>
  </sheetViews>
  <sheetFormatPr defaultRowHeight="15" x14ac:dyDescent="0.25"/>
  <cols>
    <col min="1" max="1" width="3" bestFit="1" customWidth="1"/>
    <col min="2" max="2" width="6.28515625" bestFit="1" customWidth="1"/>
    <col min="3" max="3" width="5.7109375" bestFit="1" customWidth="1"/>
    <col min="4" max="4" width="6.5703125" bestFit="1" customWidth="1"/>
    <col min="5" max="5" width="10.5703125" bestFit="1" customWidth="1"/>
    <col min="6" max="6" width="7.28515625" bestFit="1" customWidth="1"/>
    <col min="7" max="7" width="12.28515625" bestFit="1" customWidth="1"/>
    <col min="9" max="9" width="7.28515625" bestFit="1" customWidth="1"/>
    <col min="10" max="10" width="3" bestFit="1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28</v>
      </c>
      <c r="E1" s="8" t="s">
        <v>29</v>
      </c>
      <c r="F1" s="7" t="s">
        <v>30</v>
      </c>
      <c r="G1" s="7" t="s">
        <v>31</v>
      </c>
      <c r="H1" s="4"/>
    </row>
    <row r="2" spans="1:10" x14ac:dyDescent="0.25">
      <c r="A2" s="7">
        <v>1</v>
      </c>
      <c r="B2" s="7">
        <v>17</v>
      </c>
      <c r="C2" s="9">
        <f t="shared" ref="C2:C14" si="0">B2/95</f>
        <v>0.17894736842105263</v>
      </c>
      <c r="D2" s="9">
        <f t="shared" ref="D2:D14" si="1">-LN(C2)</f>
        <v>1.7206635475443248</v>
      </c>
      <c r="E2" s="9">
        <f t="shared" ref="E2:E14" si="2">1/$J$2+1/B2</f>
        <v>6.9349845201238394E-2</v>
      </c>
      <c r="F2" s="9">
        <f t="shared" ref="F2:F14" si="3">LN(D2)</f>
        <v>0.54270999988606006</v>
      </c>
      <c r="G2" s="9">
        <f t="shared" ref="G2:G14" si="4">E2/D2</f>
        <v>4.0304128776489888E-2</v>
      </c>
      <c r="H2" s="1"/>
      <c r="I2" s="1" t="s">
        <v>3</v>
      </c>
      <c r="J2" s="3">
        <v>95</v>
      </c>
    </row>
    <row r="3" spans="1:10" x14ac:dyDescent="0.25">
      <c r="A3" s="7">
        <v>2</v>
      </c>
      <c r="B3" s="7">
        <v>41</v>
      </c>
      <c r="C3" s="9">
        <f t="shared" si="0"/>
        <v>0.43157894736842106</v>
      </c>
      <c r="D3" s="9">
        <f t="shared" si="1"/>
        <v>0.84030482489623304</v>
      </c>
      <c r="E3" s="9">
        <f t="shared" si="2"/>
        <v>3.4916559691912707E-2</v>
      </c>
      <c r="F3" s="9">
        <f t="shared" si="3"/>
        <v>-0.17399056619103115</v>
      </c>
      <c r="G3" s="9">
        <f t="shared" si="4"/>
        <v>4.155225420278226E-2</v>
      </c>
      <c r="H3" s="1"/>
    </row>
    <row r="4" spans="1:10" x14ac:dyDescent="0.25">
      <c r="A4" s="7">
        <v>3</v>
      </c>
      <c r="B4" s="7">
        <v>46</v>
      </c>
      <c r="C4" s="9">
        <f t="shared" si="0"/>
        <v>0.48421052631578948</v>
      </c>
      <c r="D4" s="9">
        <f t="shared" si="1"/>
        <v>0.7252354951114458</v>
      </c>
      <c r="E4" s="9">
        <f t="shared" si="2"/>
        <v>3.226544622425629E-2</v>
      </c>
      <c r="F4" s="9">
        <f t="shared" si="3"/>
        <v>-0.32125885602695786</v>
      </c>
      <c r="G4" s="9">
        <f t="shared" si="4"/>
        <v>4.4489612604107456E-2</v>
      </c>
      <c r="H4" s="1"/>
    </row>
    <row r="5" spans="1:10" x14ac:dyDescent="0.25">
      <c r="A5" s="7">
        <v>4</v>
      </c>
      <c r="B5" s="7">
        <v>51</v>
      </c>
      <c r="C5" s="9">
        <f t="shared" si="0"/>
        <v>0.5368421052631579</v>
      </c>
      <c r="D5" s="9">
        <f t="shared" si="1"/>
        <v>0.62205125887621504</v>
      </c>
      <c r="E5" s="9">
        <f t="shared" si="2"/>
        <v>3.0134158926728584E-2</v>
      </c>
      <c r="F5" s="9">
        <f t="shared" si="3"/>
        <v>-0.47473277986962159</v>
      </c>
      <c r="G5" s="9">
        <f t="shared" si="4"/>
        <v>4.8443208653203812E-2</v>
      </c>
      <c r="H5" s="1"/>
    </row>
    <row r="6" spans="1:10" x14ac:dyDescent="0.25">
      <c r="A6" s="7">
        <v>5</v>
      </c>
      <c r="B6" s="7">
        <v>53</v>
      </c>
      <c r="C6" s="9">
        <f t="shared" si="0"/>
        <v>0.55789473684210522</v>
      </c>
      <c r="D6" s="9">
        <f t="shared" si="1"/>
        <v>0.58358497804841902</v>
      </c>
      <c r="E6" s="9">
        <f t="shared" si="2"/>
        <v>2.9394240317775572E-2</v>
      </c>
      <c r="F6" s="9">
        <f t="shared" si="3"/>
        <v>-0.53856520281485998</v>
      </c>
      <c r="G6" s="9">
        <f t="shared" si="4"/>
        <v>5.0368397788568137E-2</v>
      </c>
      <c r="H6" s="1"/>
    </row>
    <row r="7" spans="1:10" x14ac:dyDescent="0.25">
      <c r="A7" s="7">
        <v>6</v>
      </c>
      <c r="B7" s="7">
        <v>57</v>
      </c>
      <c r="C7" s="9">
        <f t="shared" si="0"/>
        <v>0.6</v>
      </c>
      <c r="D7" s="9">
        <f t="shared" si="1"/>
        <v>0.51082562376599072</v>
      </c>
      <c r="E7" s="9">
        <f t="shared" si="2"/>
        <v>2.8070175438596488E-2</v>
      </c>
      <c r="F7" s="9">
        <f t="shared" si="3"/>
        <v>-0.67172699209212194</v>
      </c>
      <c r="G7" s="9">
        <f t="shared" si="4"/>
        <v>5.4950601795683292E-2</v>
      </c>
      <c r="H7" s="1"/>
    </row>
    <row r="8" spans="1:10" x14ac:dyDescent="0.25">
      <c r="A8" s="7">
        <v>7</v>
      </c>
      <c r="B8" s="7">
        <v>59</v>
      </c>
      <c r="C8" s="9">
        <f t="shared" si="0"/>
        <v>0.62105263157894741</v>
      </c>
      <c r="D8" s="9">
        <f t="shared" si="1"/>
        <v>0.47633944769482134</v>
      </c>
      <c r="E8" s="9">
        <f t="shared" si="2"/>
        <v>2.7475468331846567E-2</v>
      </c>
      <c r="F8" s="9">
        <f t="shared" si="3"/>
        <v>-0.74162455349453171</v>
      </c>
      <c r="G8" s="9">
        <f t="shared" si="4"/>
        <v>5.7680438739244215E-2</v>
      </c>
      <c r="H8" s="1"/>
    </row>
    <row r="9" spans="1:10" x14ac:dyDescent="0.25">
      <c r="A9" s="7">
        <v>8</v>
      </c>
      <c r="B9" s="7">
        <v>60</v>
      </c>
      <c r="C9" s="9">
        <f t="shared" si="0"/>
        <v>0.63157894736842102</v>
      </c>
      <c r="D9" s="9">
        <f t="shared" si="1"/>
        <v>0.45953232937844019</v>
      </c>
      <c r="E9" s="9">
        <f t="shared" si="2"/>
        <v>2.7192982456140352E-2</v>
      </c>
      <c r="F9" s="9">
        <f t="shared" si="3"/>
        <v>-0.77754598192810886</v>
      </c>
      <c r="G9" s="9">
        <f t="shared" si="4"/>
        <v>5.9175341358292173E-2</v>
      </c>
      <c r="H9" s="1"/>
    </row>
    <row r="10" spans="1:10" x14ac:dyDescent="0.25">
      <c r="A10" s="7">
        <v>9</v>
      </c>
      <c r="B10" s="7">
        <v>63</v>
      </c>
      <c r="C10" s="9">
        <f t="shared" si="0"/>
        <v>0.66315789473684206</v>
      </c>
      <c r="D10" s="9">
        <f t="shared" si="1"/>
        <v>0.41074216520900819</v>
      </c>
      <c r="E10" s="9">
        <f t="shared" si="2"/>
        <v>2.6399331662489554E-2</v>
      </c>
      <c r="F10" s="9">
        <f t="shared" si="3"/>
        <v>-0.88978959660088752</v>
      </c>
      <c r="G10" s="9">
        <f t="shared" si="4"/>
        <v>6.4272270778570117E-2</v>
      </c>
      <c r="H10" s="1"/>
    </row>
    <row r="11" spans="1:10" x14ac:dyDescent="0.25">
      <c r="A11" s="7">
        <v>10</v>
      </c>
      <c r="B11" s="7">
        <v>68</v>
      </c>
      <c r="C11" s="9">
        <f t="shared" si="0"/>
        <v>0.71578947368421053</v>
      </c>
      <c r="D11" s="9">
        <f t="shared" si="1"/>
        <v>0.33436918642443414</v>
      </c>
      <c r="E11" s="9">
        <f t="shared" si="2"/>
        <v>2.5232198142414862E-2</v>
      </c>
      <c r="F11" s="9">
        <f t="shared" si="3"/>
        <v>-1.0955095478772268</v>
      </c>
      <c r="G11" s="9">
        <f t="shared" si="4"/>
        <v>7.5462091505005408E-2</v>
      </c>
      <c r="H11" s="1"/>
    </row>
    <row r="12" spans="1:10" x14ac:dyDescent="0.25">
      <c r="A12" s="7">
        <v>11</v>
      </c>
      <c r="B12" s="7">
        <v>74</v>
      </c>
      <c r="C12" s="9">
        <f t="shared" si="0"/>
        <v>0.77894736842105261</v>
      </c>
      <c r="D12" s="9">
        <f t="shared" si="1"/>
        <v>0.2498117983963711</v>
      </c>
      <c r="E12" s="9">
        <f t="shared" si="2"/>
        <v>2.4039829302987197E-2</v>
      </c>
      <c r="F12" s="9">
        <f t="shared" si="3"/>
        <v>-1.3870474510354449</v>
      </c>
      <c r="G12" s="9">
        <f t="shared" si="4"/>
        <v>9.6231761098984236E-2</v>
      </c>
      <c r="H12" s="1"/>
    </row>
    <row r="13" spans="1:10" x14ac:dyDescent="0.25">
      <c r="A13" s="7">
        <v>12</v>
      </c>
      <c r="B13" s="7">
        <v>80</v>
      </c>
      <c r="C13" s="9">
        <f t="shared" si="0"/>
        <v>0.84210526315789469</v>
      </c>
      <c r="D13" s="9">
        <f t="shared" si="1"/>
        <v>0.17185025692665928</v>
      </c>
      <c r="E13" s="9">
        <f t="shared" si="2"/>
        <v>2.3026315789473686E-2</v>
      </c>
      <c r="F13" s="9">
        <f t="shared" si="3"/>
        <v>-1.7611317806239304</v>
      </c>
      <c r="G13" s="9">
        <f t="shared" si="4"/>
        <v>0.13399058110981266</v>
      </c>
      <c r="H13" s="1"/>
    </row>
    <row r="14" spans="1:10" x14ac:dyDescent="0.25">
      <c r="A14" s="7">
        <v>13</v>
      </c>
      <c r="B14" s="7">
        <v>85</v>
      </c>
      <c r="C14" s="9">
        <f t="shared" si="0"/>
        <v>0.89473684210526316</v>
      </c>
      <c r="D14" s="9">
        <f t="shared" si="1"/>
        <v>0.11122563511022437</v>
      </c>
      <c r="E14" s="9">
        <f t="shared" si="2"/>
        <v>2.2291021671826623E-2</v>
      </c>
      <c r="F14" s="9">
        <f t="shared" si="3"/>
        <v>-2.1961943921672078</v>
      </c>
      <c r="G14" s="9">
        <f t="shared" si="4"/>
        <v>0.20041262654725475</v>
      </c>
      <c r="H14" s="1"/>
    </row>
    <row r="15" spans="1:10" x14ac:dyDescent="0.25">
      <c r="C15" s="3"/>
      <c r="E15" s="3"/>
    </row>
    <row r="16" spans="1:10" x14ac:dyDescent="0.25">
      <c r="B16" s="1"/>
      <c r="E16" s="2"/>
      <c r="F1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zoomScale="150" zoomScaleNormal="150" workbookViewId="0">
      <selection activeCell="B2" sqref="B2"/>
    </sheetView>
  </sheetViews>
  <sheetFormatPr defaultRowHeight="15" x14ac:dyDescent="0.25"/>
  <cols>
    <col min="1" max="1" width="5.42578125" style="7" bestFit="1" customWidth="1"/>
    <col min="2" max="2" width="8.5703125" style="7" bestFit="1" customWidth="1"/>
    <col min="3" max="3" width="9.140625" style="7"/>
    <col min="4" max="4" width="5.7109375" style="7" bestFit="1" customWidth="1"/>
    <col min="5" max="5" width="6" style="7" bestFit="1" customWidth="1"/>
  </cols>
  <sheetData>
    <row r="1" spans="1:7" x14ac:dyDescent="0.25">
      <c r="A1" s="7" t="s">
        <v>4</v>
      </c>
      <c r="B1" s="7" t="s">
        <v>1</v>
      </c>
      <c r="C1" s="7" t="s">
        <v>5</v>
      </c>
      <c r="D1" s="7" t="s">
        <v>2</v>
      </c>
      <c r="E1" s="7" t="s">
        <v>6</v>
      </c>
    </row>
    <row r="2" spans="1:7" x14ac:dyDescent="0.25">
      <c r="A2" s="7">
        <v>1</v>
      </c>
      <c r="B2" s="7">
        <v>76</v>
      </c>
      <c r="C2" s="7">
        <v>91</v>
      </c>
      <c r="D2" s="9">
        <f>B2/C2</f>
        <v>0.8351648351648352</v>
      </c>
      <c r="E2" s="9">
        <f>-LN(D2)</f>
        <v>0.18012616623051891</v>
      </c>
    </row>
    <row r="3" spans="1:7" x14ac:dyDescent="0.25">
      <c r="A3" s="7">
        <v>2</v>
      </c>
      <c r="B3" s="7">
        <v>61</v>
      </c>
      <c r="C3" s="7">
        <v>75</v>
      </c>
      <c r="D3" s="9">
        <f>B3/C3</f>
        <v>0.81333333333333335</v>
      </c>
      <c r="E3" s="9">
        <f>-LN(D3)</f>
        <v>0.20661424936299916</v>
      </c>
    </row>
    <row r="4" spans="1:7" x14ac:dyDescent="0.25">
      <c r="A4" s="7">
        <v>3</v>
      </c>
      <c r="B4" s="7">
        <v>82</v>
      </c>
      <c r="C4" s="7">
        <v>95</v>
      </c>
      <c r="D4" s="9">
        <f>B4/C4</f>
        <v>0.86315789473684212</v>
      </c>
      <c r="E4" s="9">
        <f>-LN(D4)</f>
        <v>0.1471576443362877</v>
      </c>
    </row>
    <row r="5" spans="1:7" x14ac:dyDescent="0.25">
      <c r="A5" s="7">
        <v>4</v>
      </c>
      <c r="B5" s="7">
        <v>64</v>
      </c>
      <c r="C5" s="7">
        <v>85</v>
      </c>
      <c r="D5" s="9">
        <f>B5/C5</f>
        <v>0.75294117647058822</v>
      </c>
      <c r="E5" s="9">
        <f>-LN(D5)</f>
        <v>0.28376817313064462</v>
      </c>
    </row>
    <row r="6" spans="1:7" x14ac:dyDescent="0.25">
      <c r="A6" s="7">
        <v>5</v>
      </c>
      <c r="B6" s="7">
        <v>82</v>
      </c>
      <c r="C6" s="7">
        <v>113</v>
      </c>
      <c r="D6" s="9">
        <f>B6/C6</f>
        <v>0.72566371681415931</v>
      </c>
      <c r="E6" s="9">
        <f>-LN(D6)</f>
        <v>0.32066857144808741</v>
      </c>
    </row>
    <row r="7" spans="1:7" x14ac:dyDescent="0.25">
      <c r="A7" s="7">
        <v>6</v>
      </c>
      <c r="B7" s="7">
        <v>63</v>
      </c>
      <c r="C7" s="7">
        <v>87</v>
      </c>
      <c r="D7" s="9">
        <f>B7/C7</f>
        <v>0.72413793103448276</v>
      </c>
      <c r="E7" s="9">
        <f>-LN(D7)</f>
        <v>0.32277339226305102</v>
      </c>
    </row>
    <row r="8" spans="1:7" x14ac:dyDescent="0.25">
      <c r="A8" s="7">
        <v>7</v>
      </c>
      <c r="B8" s="7">
        <v>73</v>
      </c>
      <c r="C8" s="7">
        <v>87</v>
      </c>
      <c r="D8" s="9">
        <f>B8/C8</f>
        <v>0.83908045977011492</v>
      </c>
      <c r="E8" s="9">
        <f>-LN(D8)</f>
        <v>0.17544867750619261</v>
      </c>
    </row>
    <row r="9" spans="1:7" x14ac:dyDescent="0.25">
      <c r="A9" s="7">
        <v>8</v>
      </c>
      <c r="B9" s="7">
        <v>105</v>
      </c>
      <c r="C9" s="7">
        <v>123</v>
      </c>
      <c r="D9" s="9">
        <f>B9/C9</f>
        <v>0.85365853658536583</v>
      </c>
      <c r="E9" s="9">
        <f>-LN(D9)</f>
        <v>0.15822400521489416</v>
      </c>
      <c r="G9" s="5"/>
    </row>
    <row r="10" spans="1:7" x14ac:dyDescent="0.25">
      <c r="A10" s="7">
        <v>9</v>
      </c>
      <c r="B10" s="7">
        <v>67</v>
      </c>
      <c r="C10" s="7">
        <v>85</v>
      </c>
      <c r="D10" s="9">
        <f>B10/C10</f>
        <v>0.78823529411764703</v>
      </c>
      <c r="E10" s="9">
        <f>-LN(D10)</f>
        <v>0.23795863709935042</v>
      </c>
    </row>
    <row r="11" spans="1:7" x14ac:dyDescent="0.25">
      <c r="A11" s="7">
        <v>10</v>
      </c>
      <c r="B11" s="7">
        <v>73</v>
      </c>
      <c r="C11" s="7">
        <v>87</v>
      </c>
      <c r="D11" s="9">
        <f>B11/C11</f>
        <v>0.83908045977011492</v>
      </c>
      <c r="E11" s="9">
        <f>-LN(D11)</f>
        <v>0.17544867750619261</v>
      </c>
    </row>
    <row r="12" spans="1:7" x14ac:dyDescent="0.25">
      <c r="A12" s="7">
        <v>11</v>
      </c>
      <c r="B12" s="7">
        <v>101</v>
      </c>
      <c r="C12" s="7">
        <v>127</v>
      </c>
      <c r="D12" s="9">
        <f>B12/C12</f>
        <v>0.79527559055118113</v>
      </c>
      <c r="E12" s="9">
        <f>-LN(D12)</f>
        <v>0.22906656961733179</v>
      </c>
    </row>
    <row r="13" spans="1:7" x14ac:dyDescent="0.25">
      <c r="A13" s="7">
        <v>12</v>
      </c>
      <c r="B13" s="7">
        <v>72</v>
      </c>
      <c r="C13" s="7">
        <v>81</v>
      </c>
      <c r="D13" s="9">
        <f>B13/C13</f>
        <v>0.88888888888888884</v>
      </c>
      <c r="E13" s="9">
        <f>-LN(D13)</f>
        <v>0.11778303565638351</v>
      </c>
    </row>
    <row r="14" spans="1:7" x14ac:dyDescent="0.25">
      <c r="A14" s="7">
        <v>13</v>
      </c>
      <c r="B14" s="7">
        <v>81</v>
      </c>
      <c r="C14" s="7">
        <v>95</v>
      </c>
      <c r="D14" s="9">
        <f>B14/C14</f>
        <v>0.85263157894736841</v>
      </c>
      <c r="E14" s="9">
        <f>-LN(D14)</f>
        <v>0.15942773692810208</v>
      </c>
    </row>
    <row r="15" spans="1:7" x14ac:dyDescent="0.25">
      <c r="A15" s="7">
        <v>14</v>
      </c>
      <c r="B15" s="7">
        <v>101</v>
      </c>
      <c r="C15" s="7">
        <v>114</v>
      </c>
      <c r="D15" s="9">
        <f>B15/C15</f>
        <v>0.88596491228070173</v>
      </c>
      <c r="E15" s="9">
        <f>-LN(D15)</f>
        <v>0.12107793155323604</v>
      </c>
    </row>
    <row r="16" spans="1:7" x14ac:dyDescent="0.25">
      <c r="A16" s="7">
        <v>15</v>
      </c>
      <c r="B16" s="7">
        <v>64</v>
      </c>
      <c r="C16" s="7">
        <v>82</v>
      </c>
      <c r="D16" s="9">
        <f>B16/C16</f>
        <v>0.78048780487804881</v>
      </c>
      <c r="E16" s="9">
        <f>-LN(D16)</f>
        <v>0.24783616390458121</v>
      </c>
    </row>
    <row r="17" spans="1:5" x14ac:dyDescent="0.25">
      <c r="A17" s="7">
        <v>16</v>
      </c>
      <c r="B17" s="7">
        <v>109</v>
      </c>
      <c r="C17" s="7">
        <v>127</v>
      </c>
      <c r="D17" s="9">
        <f>B17/C17</f>
        <v>0.8582677165354331</v>
      </c>
      <c r="E17" s="9">
        <f>-LN(D17)</f>
        <v>0.15283920422944755</v>
      </c>
    </row>
    <row r="18" spans="1:5" x14ac:dyDescent="0.25">
      <c r="A18" s="7">
        <v>17</v>
      </c>
      <c r="B18" s="7">
        <v>72</v>
      </c>
      <c r="C18" s="7">
        <v>86</v>
      </c>
      <c r="D18" s="9">
        <f>B18/C18</f>
        <v>0.83720930232558144</v>
      </c>
      <c r="E18" s="9">
        <f>-LN(D18)</f>
        <v>0.17768117723745236</v>
      </c>
    </row>
    <row r="19" spans="1:5" x14ac:dyDescent="0.25">
      <c r="A19" s="7">
        <v>18</v>
      </c>
      <c r="B19" s="7">
        <v>89</v>
      </c>
      <c r="C19" s="7">
        <v>94</v>
      </c>
      <c r="D19" s="9">
        <f>B19/C19</f>
        <v>0.94680851063829785</v>
      </c>
      <c r="E19" s="9">
        <f>-LN(D19)</f>
        <v>5.4658412537864083E-2</v>
      </c>
    </row>
    <row r="20" spans="1:5" x14ac:dyDescent="0.25">
      <c r="A20" s="7">
        <v>19</v>
      </c>
      <c r="B20" s="7">
        <v>87</v>
      </c>
      <c r="C20" s="7">
        <v>117</v>
      </c>
      <c r="D20" s="9">
        <f>B20/C20</f>
        <v>0.74358974358974361</v>
      </c>
      <c r="E20" s="9">
        <f>-LN(D20)</f>
        <v>0.29626581614317238</v>
      </c>
    </row>
    <row r="21" spans="1:5" x14ac:dyDescent="0.25">
      <c r="A21" s="7">
        <v>20</v>
      </c>
      <c r="B21" s="7">
        <v>69</v>
      </c>
      <c r="C21" s="7">
        <v>85</v>
      </c>
      <c r="D21" s="9">
        <f>B21/C21</f>
        <v>0.81176470588235294</v>
      </c>
      <c r="E21" s="9">
        <f>-LN(D21)</f>
        <v>0.20854475189305707</v>
      </c>
    </row>
    <row r="22" spans="1:5" x14ac:dyDescent="0.25">
      <c r="A22" s="7">
        <v>21</v>
      </c>
      <c r="B22" s="7">
        <v>112</v>
      </c>
      <c r="C22" s="7">
        <v>120</v>
      </c>
      <c r="D22" s="9">
        <f>B22/C22</f>
        <v>0.93333333333333335</v>
      </c>
      <c r="E22" s="9">
        <f>-LN(D22)</f>
        <v>6.8992871486951435E-2</v>
      </c>
    </row>
    <row r="23" spans="1:5" x14ac:dyDescent="0.25">
      <c r="A23" s="7">
        <v>22</v>
      </c>
      <c r="B23" s="7">
        <v>74</v>
      </c>
      <c r="C23" s="7">
        <v>93</v>
      </c>
      <c r="D23" s="9">
        <f>B23/C23</f>
        <v>0.79569892473118276</v>
      </c>
      <c r="E23" s="9">
        <f>-LN(D23)</f>
        <v>0.22853439994908623</v>
      </c>
    </row>
    <row r="24" spans="1:5" x14ac:dyDescent="0.25">
      <c r="A24" s="7">
        <v>23</v>
      </c>
      <c r="B24" s="7">
        <v>80</v>
      </c>
      <c r="C24" s="7">
        <v>88</v>
      </c>
      <c r="D24" s="9">
        <f>B24/C24</f>
        <v>0.90909090909090906</v>
      </c>
      <c r="E24" s="9">
        <f>-LN(D24)</f>
        <v>9.5310179804324893E-2</v>
      </c>
    </row>
    <row r="25" spans="1:5" x14ac:dyDescent="0.25">
      <c r="A25" s="7">
        <v>24</v>
      </c>
      <c r="B25" s="7">
        <v>109</v>
      </c>
      <c r="C25" s="7">
        <v>127</v>
      </c>
      <c r="D25" s="9">
        <f>B25/C25</f>
        <v>0.8582677165354331</v>
      </c>
      <c r="E25" s="9">
        <f>-LN(D25)</f>
        <v>0.15283920422944755</v>
      </c>
    </row>
    <row r="26" spans="1:5" x14ac:dyDescent="0.25">
      <c r="A26" s="7">
        <v>25</v>
      </c>
      <c r="B26" s="7">
        <v>60</v>
      </c>
      <c r="C26" s="7">
        <v>81</v>
      </c>
      <c r="D26" s="9">
        <f>B26/C26</f>
        <v>0.7407407407407407</v>
      </c>
      <c r="E26" s="9">
        <f>-LN(D26)</f>
        <v>0.30010459245033816</v>
      </c>
    </row>
    <row r="27" spans="1:5" x14ac:dyDescent="0.25">
      <c r="A27" s="7">
        <v>26</v>
      </c>
      <c r="B27" s="7">
        <v>89</v>
      </c>
      <c r="C27" s="7">
        <v>107</v>
      </c>
      <c r="D27" s="9">
        <f>B27/C27</f>
        <v>0.83177570093457942</v>
      </c>
      <c r="E27" s="9">
        <f>-LN(D27)</f>
        <v>0.18419246472976636</v>
      </c>
    </row>
    <row r="28" spans="1:5" x14ac:dyDescent="0.25">
      <c r="A28" s="7">
        <v>27</v>
      </c>
      <c r="B28" s="7">
        <v>79</v>
      </c>
      <c r="C28" s="7">
        <v>97</v>
      </c>
      <c r="D28" s="9">
        <f>B28/C28</f>
        <v>0.81443298969072164</v>
      </c>
      <c r="E28" s="9">
        <f>-LN(D28)</f>
        <v>0.20526312603636135</v>
      </c>
    </row>
    <row r="29" spans="1:5" x14ac:dyDescent="0.25">
      <c r="A29" s="7">
        <v>28</v>
      </c>
      <c r="B29" s="7">
        <v>115</v>
      </c>
      <c r="C29" s="7">
        <v>123</v>
      </c>
      <c r="D29" s="9">
        <f>B29/C29</f>
        <v>0.93495934959349591</v>
      </c>
      <c r="E29" s="9">
        <f>-LN(D29)</f>
        <v>6.7252227009167456E-2</v>
      </c>
    </row>
    <row r="30" spans="1:5" x14ac:dyDescent="0.25">
      <c r="A30" s="7">
        <v>29</v>
      </c>
      <c r="B30" s="7">
        <v>97</v>
      </c>
      <c r="C30" s="7">
        <v>110</v>
      </c>
      <c r="D30" s="9">
        <f>B30/C30</f>
        <v>0.88181818181818183</v>
      </c>
      <c r="E30" s="9">
        <f>-LN(D30)</f>
        <v>0.12576938728903339</v>
      </c>
    </row>
    <row r="31" spans="1:5" x14ac:dyDescent="0.25">
      <c r="A31" s="7">
        <v>30</v>
      </c>
      <c r="B31" s="7">
        <v>87</v>
      </c>
      <c r="C31" s="7">
        <v>92</v>
      </c>
      <c r="D31" s="9">
        <f>B31/C31</f>
        <v>0.94565217391304346</v>
      </c>
      <c r="E31" s="9">
        <f>-LN(D31)</f>
        <v>5.5880458394456614E-2</v>
      </c>
    </row>
  </sheetData>
  <autoFilter ref="A1:E31" xr:uid="{00000000-0009-0000-0000-000007000000}">
    <sortState xmlns:xlrd2="http://schemas.microsoft.com/office/spreadsheetml/2017/richdata2" ref="A2:E31">
      <sortCondition ref="A1:A31"/>
    </sortState>
  </autoFilter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zoomScale="150" zoomScaleNormal="150"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21" bestFit="1" customWidth="1"/>
  </cols>
  <sheetData>
    <row r="1" spans="1:3" ht="15.75" customHeight="1" x14ac:dyDescent="0.25">
      <c r="A1" s="6" t="s">
        <v>7</v>
      </c>
      <c r="B1" s="6" t="s">
        <v>8</v>
      </c>
      <c r="C1" s="6" t="s">
        <v>9</v>
      </c>
    </row>
    <row r="2" spans="1:3" ht="15.75" customHeight="1" x14ac:dyDescent="0.25">
      <c r="A2" s="6">
        <v>1</v>
      </c>
      <c r="B2" s="6" t="s">
        <v>10</v>
      </c>
      <c r="C2" s="6">
        <v>5</v>
      </c>
    </row>
    <row r="3" spans="1:3" ht="15.75" customHeight="1" x14ac:dyDescent="0.25">
      <c r="A3" s="6">
        <v>2</v>
      </c>
      <c r="B3" s="6" t="s">
        <v>11</v>
      </c>
      <c r="C3" s="6">
        <v>4</v>
      </c>
    </row>
    <row r="4" spans="1:3" ht="15.75" customHeight="1" x14ac:dyDescent="0.25">
      <c r="A4" s="6">
        <v>3</v>
      </c>
      <c r="B4" s="6" t="s">
        <v>12</v>
      </c>
      <c r="C4" s="6">
        <v>9</v>
      </c>
    </row>
    <row r="5" spans="1:3" ht="15.75" customHeight="1" x14ac:dyDescent="0.25">
      <c r="A5" s="6">
        <v>4</v>
      </c>
      <c r="B5" s="6" t="s">
        <v>13</v>
      </c>
      <c r="C5" s="6">
        <v>7</v>
      </c>
    </row>
    <row r="6" spans="1:3" ht="15.75" customHeight="1" x14ac:dyDescent="0.25">
      <c r="A6" s="6">
        <v>5</v>
      </c>
      <c r="B6" s="6" t="s">
        <v>14</v>
      </c>
      <c r="C6" s="6">
        <v>2</v>
      </c>
    </row>
    <row r="7" spans="1:3" ht="15.75" customHeight="1" x14ac:dyDescent="0.25">
      <c r="A7" s="6">
        <v>6</v>
      </c>
      <c r="B7" s="6" t="s">
        <v>15</v>
      </c>
      <c r="C7" s="6">
        <v>3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tabSelected="1" workbookViewId="0">
      <selection activeCell="H8" sqref="H8"/>
    </sheetView>
  </sheetViews>
  <sheetFormatPr defaultRowHeight="15" x14ac:dyDescent="0.25"/>
  <cols>
    <col min="1" max="1" width="16.42578125" bestFit="1" customWidth="1"/>
    <col min="2" max="2" width="25" bestFit="1" customWidth="1"/>
    <col min="3" max="3" width="20.7109375" bestFit="1" customWidth="1"/>
    <col min="4" max="4" width="19.7109375" bestFit="1" customWidth="1"/>
    <col min="5" max="5" width="18.42578125" bestFit="1" customWidth="1"/>
  </cols>
  <sheetData>
    <row r="1" spans="1:5" x14ac:dyDescent="0.25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</row>
    <row r="2" spans="1:5" x14ac:dyDescent="0.25">
      <c r="A2" s="7" t="s">
        <v>21</v>
      </c>
      <c r="B2" s="7">
        <v>-8.7999999999999995E-2</v>
      </c>
      <c r="C2" s="7">
        <v>0.99539999999999995</v>
      </c>
      <c r="D2" s="7">
        <v>23.63</v>
      </c>
      <c r="E2" s="7">
        <v>23</v>
      </c>
    </row>
    <row r="3" spans="1:5" x14ac:dyDescent="0.25">
      <c r="A3" s="7" t="s">
        <v>22</v>
      </c>
      <c r="B3" s="7">
        <v>-4.2799999999999998E-2</v>
      </c>
      <c r="C3" s="7">
        <v>0.95069999999999999</v>
      </c>
      <c r="D3" s="7">
        <v>47.64</v>
      </c>
      <c r="E3" s="7">
        <v>47</v>
      </c>
    </row>
    <row r="4" spans="1:5" x14ac:dyDescent="0.25">
      <c r="A4" s="7" t="s">
        <v>23</v>
      </c>
      <c r="B4" s="7">
        <v>-0.1201</v>
      </c>
      <c r="C4" s="7">
        <v>0.95720000000000005</v>
      </c>
      <c r="D4" s="7">
        <v>15.88</v>
      </c>
      <c r="E4" s="7">
        <v>15</v>
      </c>
    </row>
    <row r="5" spans="1:5" x14ac:dyDescent="0.25">
      <c r="A5" s="7" t="s">
        <v>24</v>
      </c>
      <c r="B5" s="7">
        <v>-0.1923</v>
      </c>
      <c r="C5" s="7">
        <v>0.96940000000000004</v>
      </c>
      <c r="D5" s="7">
        <v>8.93</v>
      </c>
      <c r="E5" s="7">
        <v>8</v>
      </c>
    </row>
    <row r="6" spans="1:5" x14ac:dyDescent="0.25">
      <c r="A6" s="7" t="s">
        <v>25</v>
      </c>
      <c r="B6" s="7">
        <v>-0.13020000000000001</v>
      </c>
      <c r="C6" s="7">
        <v>0.97409999999999997</v>
      </c>
      <c r="D6" s="7">
        <v>12.07</v>
      </c>
      <c r="E6" s="7">
        <v>12</v>
      </c>
    </row>
    <row r="7" spans="1:5" x14ac:dyDescent="0.25">
      <c r="A7" s="7" t="s">
        <v>26</v>
      </c>
      <c r="B7" s="7">
        <v>-6.6299999999999998E-2</v>
      </c>
      <c r="C7" s="7">
        <v>0.94740000000000002</v>
      </c>
      <c r="D7" s="7">
        <v>28.41</v>
      </c>
      <c r="E7" s="7">
        <v>28</v>
      </c>
    </row>
    <row r="8" spans="1:5" x14ac:dyDescent="0.25">
      <c r="A8" s="7" t="s">
        <v>27</v>
      </c>
      <c r="B8" s="7">
        <v>-0.15759999999999999</v>
      </c>
      <c r="C8" s="7">
        <v>0.89690000000000003</v>
      </c>
      <c r="D8" s="7">
        <v>12.48</v>
      </c>
      <c r="E8" s="7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Принцесса Нури</vt:lpstr>
      <vt:lpstr>Kenika</vt:lpstr>
      <vt:lpstr>Greetings</vt:lpstr>
      <vt:lpstr>Curtis</vt:lpstr>
      <vt:lpstr>Greenfield</vt:lpstr>
      <vt:lpstr>Richard</vt:lpstr>
      <vt:lpstr>Tess</vt:lpstr>
      <vt:lpstr>Предел чувствительности</vt:lpstr>
      <vt:lpstr>Результаты группировки</vt:lpstr>
      <vt:lpstr>Итоги с погрешностями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София Минина</cp:lastModifiedBy>
  <dcterms:created xsi:type="dcterms:W3CDTF">2015-06-05T18:19:34Z</dcterms:created>
  <dcterms:modified xsi:type="dcterms:W3CDTF">2026-07-02T13:12:16Z</dcterms:modified>
</cp:coreProperties>
</file>